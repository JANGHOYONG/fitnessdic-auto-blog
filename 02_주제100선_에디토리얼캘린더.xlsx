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주제100선" sheetId="1" state="visible" r:id="rId3"/>
    <sheet name="카테고리_요약" sheetId="2" state="visible" r:id="rId4"/>
    <sheet name="월별_발행계획" sheetId="3" state="visible" r:id="rId5"/>
    <sheet name="사용안내" sheetId="4" state="visible" r:id="rId6"/>
  </sheets>
  <definedNames>
    <definedName function="false" hidden="true" localSheetId="0" name="_xlnm._FilterDatabase" vbProcedure="false">주제100선!$A$1:$M$101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<sst xmlns="http://schemas.openxmlformats.org/spreadsheetml/2006/main" count="877" uniqueCount="367">
  <si>
    <t xml:space="preserve">번호</t>
  </si>
  <si>
    <r>
      <rPr>
        <b val="true"/>
        <sz val="11"/>
        <color rgb="FFFFFFFF"/>
        <rFont val="DejaVu Sans"/>
        <family val="2"/>
      </rPr>
      <t xml:space="preserve">카테고리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</si>
  <si>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카테고리</t>
  </si>
  <si>
    <t xml:space="preserve">주제</t>
  </si>
  <si>
    <t xml:space="preserve">메인키워드</t>
  </si>
  <si>
    <t xml:space="preserve">보조키워드</t>
  </si>
  <si>
    <t xml:space="preserve">월검색량</t>
  </si>
  <si>
    <t xml:space="preserve">난이도</t>
  </si>
  <si>
    <r>
      <rPr>
        <b val="true"/>
        <sz val="11"/>
        <color rgb="FFFFFFFF"/>
        <rFont val="맑은 고딕"/>
        <family val="0"/>
        <charset val="1"/>
      </rPr>
      <t xml:space="preserve">CPC</t>
    </r>
    <r>
      <rPr>
        <b val="true"/>
        <sz val="11"/>
        <color rgb="FFFFFFFF"/>
        <rFont val="DejaVu Sans"/>
        <family val="2"/>
      </rPr>
      <t xml:space="preserve">원</t>
    </r>
  </si>
  <si>
    <t xml:space="preserve">우선순위</t>
  </si>
  <si>
    <t xml:space="preserve">담당저자</t>
  </si>
  <si>
    <t xml:space="preserve">예상발행일</t>
  </si>
  <si>
    <t xml:space="preserve">상태</t>
  </si>
  <si>
    <t xml:space="preserve">diet</t>
  </si>
  <si>
    <t xml:space="preserve">체중감량</t>
  </si>
  <si>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일 만에 체지방 </t>
    </r>
    <r>
      <rPr>
        <sz val="10"/>
        <rFont val="맑은 고딕"/>
        <family val="0"/>
        <charset val="1"/>
      </rPr>
      <t xml:space="preserve">3kg </t>
    </r>
    <r>
      <rPr>
        <sz val="10"/>
        <rFont val="DejaVu Sans"/>
        <family val="2"/>
      </rPr>
      <t xml:space="preserve">빼는 식단 설계법</t>
    </r>
  </si>
  <si>
    <t xml:space="preserve">체지방 감량</t>
  </si>
  <si>
    <r>
      <rPr>
        <sz val="10"/>
        <rFont val="DejaVu Sans"/>
        <family val="2"/>
      </rPr>
      <t xml:space="preserve">저탄고지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칼로리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감량</t>
    </r>
  </si>
  <si>
    <t xml:space="preserve">P0</t>
  </si>
  <si>
    <t xml:space="preserve">kim-yunsu</t>
  </si>
  <si>
    <t xml:space="preserve">대기</t>
  </si>
  <si>
    <r>
      <rPr>
        <sz val="10"/>
        <rFont val="DejaVu Sans"/>
        <family val="2"/>
      </rPr>
      <t xml:space="preserve">간헐적 단식 </t>
    </r>
    <r>
      <rPr>
        <sz val="10"/>
        <rFont val="맑은 고딕"/>
        <family val="0"/>
        <charset val="1"/>
      </rPr>
      <t xml:space="preserve">16:8 </t>
    </r>
    <r>
      <rPr>
        <sz val="10"/>
        <rFont val="DejaVu Sans"/>
        <family val="2"/>
      </rPr>
      <t xml:space="preserve">초보자 완벽 가이드</t>
    </r>
  </si>
  <si>
    <t xml:space="preserve">간헐적 단식</t>
  </si>
  <si>
    <r>
      <rPr>
        <sz val="10"/>
        <rFont val="맑은 고딕"/>
        <family val="0"/>
        <charset val="1"/>
      </rPr>
      <t xml:space="preserve">16</t>
    </r>
    <r>
      <rPr>
        <sz val="10"/>
        <rFont val="DejaVu Sans"/>
        <family val="2"/>
      </rPr>
      <t xml:space="preserve">대</t>
    </r>
    <r>
      <rPr>
        <sz val="10"/>
        <rFont val="맑은 고딕"/>
        <family val="0"/>
        <charset val="1"/>
      </rPr>
      <t xml:space="preserve">8,</t>
    </r>
    <r>
      <rPr>
        <sz val="10"/>
        <rFont val="DejaVu Sans"/>
        <family val="2"/>
      </rPr>
      <t xml:space="preserve">단식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다이어트</t>
    </r>
  </si>
  <si>
    <t xml:space="preserve">정체기 탈출 치팅데이 설계법</t>
  </si>
  <si>
    <t xml:space="preserve">정체기</t>
  </si>
  <si>
    <r>
      <rPr>
        <sz val="10"/>
        <rFont val="DejaVu Sans"/>
        <family val="2"/>
      </rPr>
      <t xml:space="preserve">치팅데이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리피드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대사</t>
    </r>
  </si>
  <si>
    <t xml:space="preserve">P1</t>
  </si>
  <si>
    <t xml:space="preserve">저칼로리 도시락 일주일 식단</t>
  </si>
  <si>
    <t xml:space="preserve">저칼로리 도시락</t>
  </si>
  <si>
    <r>
      <rPr>
        <sz val="10"/>
        <rFont val="DejaVu Sans"/>
        <family val="2"/>
      </rPr>
      <t xml:space="preserve">도시락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식단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감량</t>
    </r>
  </si>
  <si>
    <r>
      <rPr>
        <sz val="10"/>
        <rFont val="DejaVu Sans"/>
        <family val="2"/>
      </rPr>
      <t xml:space="preserve">폭식 방지 심리전략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가지</t>
    </r>
  </si>
  <si>
    <t xml:space="preserve">폭식 방지</t>
  </si>
  <si>
    <r>
      <rPr>
        <sz val="10"/>
        <rFont val="DejaVu Sans"/>
        <family val="2"/>
      </rPr>
      <t xml:space="preserve">스트레스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식욕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감정식사</t>
    </r>
  </si>
  <si>
    <t xml:space="preserve">체중계보다 중요한 인바디 수치 읽는 법</t>
  </si>
  <si>
    <t xml:space="preserve">인바디 보는 법</t>
  </si>
  <si>
    <r>
      <rPr>
        <sz val="10"/>
        <rFont val="DejaVu Sans"/>
        <family val="2"/>
      </rPr>
      <t xml:space="preserve">체지방률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골격근량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인바디</t>
    </r>
  </si>
  <si>
    <r>
      <rPr>
        <sz val="10"/>
        <rFont val="DejaVu Sans"/>
        <family val="2"/>
      </rPr>
      <t xml:space="preserve">야식 끊는 현실적 방법 </t>
    </r>
    <r>
      <rPr>
        <sz val="10"/>
        <rFont val="맑은 고딕"/>
        <family val="0"/>
        <charset val="1"/>
      </rPr>
      <t xml:space="preserve">7</t>
    </r>
    <r>
      <rPr>
        <sz val="10"/>
        <rFont val="DejaVu Sans"/>
        <family val="2"/>
      </rPr>
      <t xml:space="preserve">가지</t>
    </r>
  </si>
  <si>
    <t xml:space="preserve">야식 끊기</t>
  </si>
  <si>
    <r>
      <rPr>
        <sz val="10"/>
        <rFont val="DejaVu Sans"/>
        <family val="2"/>
      </rPr>
      <t xml:space="preserve">야간식욕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수면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다이어트</t>
    </r>
  </si>
  <si>
    <t xml:space="preserve">다이어트 중 외식 살 안 찌는 주문법</t>
  </si>
  <si>
    <t xml:space="preserve">다이어트 외식</t>
  </si>
  <si>
    <r>
      <rPr>
        <sz val="10"/>
        <rFont val="DejaVu Sans"/>
        <family val="2"/>
      </rPr>
      <t xml:space="preserve">회식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외식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메뉴선택</t>
    </r>
  </si>
  <si>
    <r>
      <rPr>
        <sz val="10"/>
        <rFont val="DejaVu Sans"/>
        <family val="2"/>
      </rPr>
      <t xml:space="preserve">저탄고지 </t>
    </r>
    <r>
      <rPr>
        <sz val="10"/>
        <rFont val="맑은 고딕"/>
        <family val="0"/>
        <charset val="1"/>
      </rPr>
      <t xml:space="preserve">vs </t>
    </r>
    <r>
      <rPr>
        <sz val="10"/>
        <rFont val="DejaVu Sans"/>
        <family val="2"/>
      </rPr>
      <t xml:space="preserve">저지방 다이어트 비교</t>
    </r>
  </si>
  <si>
    <t xml:space="preserve">저탄고지 저지방</t>
  </si>
  <si>
    <r>
      <rPr>
        <sz val="10"/>
        <rFont val="DejaVu Sans"/>
        <family val="2"/>
      </rPr>
      <t xml:space="preserve">케토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지방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탄수화물</t>
    </r>
  </si>
  <si>
    <r>
      <rPr>
        <sz val="10"/>
        <rFont val="맑은 고딕"/>
        <family val="0"/>
        <charset val="1"/>
      </rPr>
      <t xml:space="preserve">PT </t>
    </r>
    <r>
      <rPr>
        <sz val="10"/>
        <rFont val="DejaVu Sans"/>
        <family val="2"/>
      </rPr>
      <t xml:space="preserve">없이 혼자 감량하는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주 플랜</t>
    </r>
  </si>
  <si>
    <t xml:space="preserve">혼자 다이어트</t>
  </si>
  <si>
    <r>
      <rPr>
        <sz val="10"/>
        <rFont val="맑은 고딕"/>
        <family val="0"/>
        <charset val="1"/>
      </rPr>
      <t xml:space="preserve">PT,</t>
    </r>
    <r>
      <rPr>
        <sz val="10"/>
        <rFont val="DejaVu Sans"/>
        <family val="2"/>
      </rPr>
      <t xml:space="preserve">혼감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플랜</t>
    </r>
  </si>
  <si>
    <t xml:space="preserve">P2</t>
  </si>
  <si>
    <t xml:space="preserve">출산 후 다이어트 안전하게 시작하기</t>
  </si>
  <si>
    <t xml:space="preserve">출산 후 다이어트</t>
  </si>
  <si>
    <r>
      <rPr>
        <sz val="10"/>
        <rFont val="DejaVu Sans"/>
        <family val="2"/>
      </rPr>
      <t xml:space="preserve">산후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모유수유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감량</t>
    </r>
  </si>
  <si>
    <t xml:space="preserve">사무직의 복부지방 빼는 현실 전략</t>
  </si>
  <si>
    <t xml:space="preserve">복부지방</t>
  </si>
  <si>
    <r>
      <rPr>
        <sz val="10"/>
        <rFont val="DejaVu Sans"/>
        <family val="2"/>
      </rPr>
      <t xml:space="preserve">뱃살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사무직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복부</t>
    </r>
  </si>
  <si>
    <t xml:space="preserve">수면과 다이어트의 상관관계</t>
  </si>
  <si>
    <t xml:space="preserve">수면 다이어트</t>
  </si>
  <si>
    <r>
      <rPr>
        <sz val="10"/>
        <rFont val="DejaVu Sans"/>
        <family val="2"/>
      </rPr>
      <t xml:space="preserve">수면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렙틴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그렐린</t>
    </r>
  </si>
  <si>
    <r>
      <rPr>
        <sz val="10"/>
        <rFont val="DejaVu Sans"/>
        <family val="2"/>
      </rPr>
      <t xml:space="preserve">하루 </t>
    </r>
    <r>
      <rPr>
        <sz val="10"/>
        <rFont val="맑은 고딕"/>
        <family val="0"/>
        <charset val="1"/>
      </rPr>
      <t xml:space="preserve">1500kcal </t>
    </r>
    <r>
      <rPr>
        <sz val="10"/>
        <rFont val="DejaVu Sans"/>
        <family val="2"/>
      </rPr>
      <t xml:space="preserve">식단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주 챌린지</t>
    </r>
  </si>
  <si>
    <t xml:space="preserve">1500kcal</t>
  </si>
  <si>
    <r>
      <rPr>
        <sz val="10"/>
        <rFont val="DejaVu Sans"/>
        <family val="2"/>
      </rPr>
      <t xml:space="preserve">칼로리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챌린지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저칼</t>
    </r>
  </si>
  <si>
    <r>
      <rPr>
        <sz val="10"/>
        <rFont val="DejaVu Sans"/>
        <family val="2"/>
      </rPr>
      <t xml:space="preserve">다이어트 실패 원인 </t>
    </r>
    <r>
      <rPr>
        <sz val="10"/>
        <rFont val="맑은 고딕"/>
        <family val="0"/>
        <charset val="1"/>
      </rPr>
      <t xml:space="preserve">BEST 10</t>
    </r>
  </si>
  <si>
    <t xml:space="preserve">다이어트 실패</t>
  </si>
  <si>
    <r>
      <rPr>
        <sz val="10"/>
        <rFont val="DejaVu Sans"/>
        <family val="2"/>
      </rPr>
      <t xml:space="preserve">요요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원인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체중감량</t>
    </r>
  </si>
  <si>
    <t xml:space="preserve">exercise</t>
  </si>
  <si>
    <t xml:space="preserve">근력운동</t>
  </si>
  <si>
    <t xml:space="preserve">스쿼트 제대로 하는 법과 흔한 실수</t>
  </si>
  <si>
    <t xml:space="preserve">스쿼트 자세</t>
  </si>
  <si>
    <r>
      <rPr>
        <sz val="10"/>
        <rFont val="DejaVu Sans"/>
        <family val="2"/>
      </rPr>
      <t xml:space="preserve">하체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헬스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자세</t>
    </r>
  </si>
  <si>
    <t xml:space="preserve">데드리프트 입문자 가이드</t>
  </si>
  <si>
    <t xml:space="preserve">데드리프트</t>
  </si>
  <si>
    <r>
      <rPr>
        <sz val="10"/>
        <rFont val="DejaVu Sans"/>
        <family val="2"/>
      </rPr>
      <t xml:space="preserve">등운동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전신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자세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</si>
  <si>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분할 </t>
    </r>
    <r>
      <rPr>
        <sz val="10"/>
        <rFont val="맑은 고딕"/>
        <family val="0"/>
        <charset val="1"/>
      </rPr>
      <t xml:space="preserve">vs 5</t>
    </r>
    <r>
      <rPr>
        <sz val="10"/>
        <rFont val="DejaVu Sans"/>
        <family val="2"/>
      </rPr>
      <t xml:space="preserve">분할 운동 루틴 비교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</si>
  <si>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분할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분할</t>
    </r>
  </si>
  <si>
    <r>
      <rPr>
        <sz val="10"/>
        <rFont val="DejaVu Sans"/>
        <family val="2"/>
      </rPr>
      <t xml:space="preserve">분할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루틴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근력</t>
    </r>
  </si>
  <si>
    <t xml:space="preserve">벤치프레스 무게 빠르게 올리는 법</t>
  </si>
  <si>
    <t xml:space="preserve">벤치프레스</t>
  </si>
  <si>
    <r>
      <rPr>
        <sz val="10"/>
        <rFont val="DejaVu Sans"/>
        <family val="2"/>
      </rPr>
      <t xml:space="preserve">가슴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무게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프로그램</t>
    </r>
  </si>
  <si>
    <t xml:space="preserve">어깨운동 오버헤드 프레스 정복</t>
  </si>
  <si>
    <t xml:space="preserve">오버헤드 프레스</t>
  </si>
  <si>
    <r>
      <rPr>
        <sz val="10"/>
        <rFont val="DejaVu Sans"/>
        <family val="2"/>
      </rPr>
      <t xml:space="preserve">어깨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숄더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프레스</t>
    </r>
  </si>
  <si>
    <r>
      <rPr>
        <sz val="10"/>
        <rFont val="DejaVu Sans"/>
        <family val="2"/>
      </rPr>
      <t xml:space="preserve">등운동 풀업 </t>
    </r>
    <r>
      <rPr>
        <sz val="10"/>
        <rFont val="맑은 고딕"/>
        <family val="0"/>
        <charset val="1"/>
      </rPr>
      <t xml:space="preserve">0</t>
    </r>
    <r>
      <rPr>
        <sz val="10"/>
        <rFont val="DejaVu Sans"/>
        <family val="2"/>
      </rPr>
      <t xml:space="preserve">개에서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개까지</t>
    </r>
  </si>
  <si>
    <t xml:space="preserve">풀업</t>
  </si>
  <si>
    <r>
      <rPr>
        <sz val="10"/>
        <rFont val="DejaVu Sans"/>
        <family val="2"/>
      </rPr>
      <t xml:space="preserve">턱걸이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등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당기기</t>
    </r>
  </si>
  <si>
    <r>
      <rPr>
        <sz val="10"/>
        <rFont val="DejaVu Sans"/>
        <family val="2"/>
      </rPr>
      <t xml:space="preserve">팔운동 이두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삼두 균형 잡기</t>
    </r>
  </si>
  <si>
    <t xml:space="preserve">이두 삼두</t>
  </si>
  <si>
    <r>
      <rPr>
        <sz val="10"/>
        <rFont val="DejaVu Sans"/>
        <family val="2"/>
      </rPr>
      <t xml:space="preserve">팔운동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바이셉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트라이셉</t>
    </r>
  </si>
  <si>
    <r>
      <rPr>
        <sz val="10"/>
        <rFont val="DejaVu Sans"/>
        <family val="2"/>
      </rPr>
      <t xml:space="preserve">복근운동 코어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 만드는 루틴</t>
    </r>
  </si>
  <si>
    <t xml:space="preserve">복근운동</t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</si>
  <si>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팩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코어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식스팩</t>
    </r>
  </si>
  <si>
    <r>
      <rPr>
        <sz val="10"/>
        <rFont val="DejaVu Sans"/>
        <family val="2"/>
      </rPr>
      <t xml:space="preserve">헬스 초보 첫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개월 체크리스트</t>
    </r>
  </si>
  <si>
    <t xml:space="preserve">헬스 초보</t>
  </si>
  <si>
    <r>
      <rPr>
        <sz val="10"/>
        <rFont val="DejaVu Sans"/>
        <family val="2"/>
      </rPr>
      <t xml:space="preserve">입문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루틴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초보</t>
    </r>
  </si>
  <si>
    <t xml:space="preserve">중량 운동과 부상 예방 스트레칭</t>
  </si>
  <si>
    <t xml:space="preserve">부상 예방 스트레칭</t>
  </si>
  <si>
    <r>
      <rPr>
        <sz val="10"/>
        <rFont val="DejaVu Sans"/>
        <family val="2"/>
      </rPr>
      <t xml:space="preserve">워밍업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스트레칭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부상</t>
    </r>
  </si>
  <si>
    <r>
      <rPr>
        <sz val="10"/>
        <rFont val="DejaVu Sans"/>
        <family val="2"/>
      </rPr>
      <t xml:space="preserve">여성 근력운동 오해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가지</t>
    </r>
  </si>
  <si>
    <t xml:space="preserve">여성 근력운동</t>
  </si>
  <si>
    <r>
      <rPr>
        <sz val="10"/>
        <rFont val="DejaVu Sans"/>
        <family val="2"/>
      </rPr>
      <t xml:space="preserve">여성 헬스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근비대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근력</t>
    </r>
  </si>
  <si>
    <r>
      <rPr>
        <sz val="10"/>
        <rFont val="DejaVu Sans"/>
        <family val="2"/>
      </rPr>
      <t xml:space="preserve">주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회 전신운동 프로그램</t>
    </r>
  </si>
  <si>
    <t xml:space="preserve">전신운동</t>
  </si>
  <si>
    <r>
      <rPr>
        <sz val="10"/>
        <rFont val="DejaVu Sans"/>
        <family val="2"/>
      </rPr>
      <t xml:space="preserve">풀바디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주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회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루틴</t>
    </r>
  </si>
  <si>
    <t xml:space="preserve">cardio</t>
  </si>
  <si>
    <r>
      <rPr>
        <b val="true"/>
        <sz val="10"/>
        <color rgb="FFE8631A"/>
        <rFont val="DejaVu Sans"/>
        <family val="2"/>
      </rPr>
      <t xml:space="preserve">유산소</t>
    </r>
    <r>
      <rPr>
        <b val="true"/>
        <sz val="10"/>
        <color rgb="FFE8631A"/>
        <rFont val="맑은 고딕"/>
        <family val="0"/>
        <charset val="1"/>
      </rPr>
      <t xml:space="preserve">·</t>
    </r>
    <r>
      <rPr>
        <b val="true"/>
        <sz val="10"/>
        <color rgb="FFE8631A"/>
        <rFont val="DejaVu Sans"/>
        <family val="2"/>
      </rPr>
      <t xml:space="preserve">러닝</t>
    </r>
  </si>
  <si>
    <r>
      <rPr>
        <sz val="10"/>
        <rFont val="DejaVu Sans"/>
        <family val="2"/>
      </rPr>
      <t xml:space="preserve">러닝 입문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주 프로그램 </t>
    </r>
    <r>
      <rPr>
        <sz val="10"/>
        <rFont val="맑은 고딕"/>
        <family val="0"/>
        <charset val="1"/>
      </rPr>
      <t xml:space="preserve">C25K</t>
    </r>
  </si>
  <si>
    <t xml:space="preserve">러닝 입문</t>
  </si>
  <si>
    <r>
      <rPr>
        <sz val="10"/>
        <rFont val="DejaVu Sans"/>
        <family val="2"/>
      </rPr>
      <t xml:space="preserve">초보 달리기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러닝</t>
    </r>
    <r>
      <rPr>
        <sz val="10"/>
        <rFont val="맑은 고딕"/>
        <family val="0"/>
        <charset val="1"/>
      </rPr>
      <t xml:space="preserve">,C25K</t>
    </r>
  </si>
  <si>
    <r>
      <rPr>
        <sz val="10"/>
        <rFont val="맑은 고딕"/>
        <family val="0"/>
        <charset val="1"/>
      </rPr>
      <t xml:space="preserve">5km 30</t>
    </r>
    <r>
      <rPr>
        <sz val="10"/>
        <rFont val="DejaVu Sans"/>
        <family val="2"/>
      </rPr>
      <t xml:space="preserve">분 안에 뛰는 훈련법</t>
    </r>
  </si>
  <si>
    <r>
      <rPr>
        <sz val="10"/>
        <rFont val="맑은 고딕"/>
        <family val="0"/>
        <charset val="1"/>
      </rPr>
      <t xml:space="preserve">5km </t>
    </r>
    <r>
      <rPr>
        <sz val="10"/>
        <rFont val="DejaVu Sans"/>
        <family val="2"/>
      </rPr>
      <t xml:space="preserve">기록</t>
    </r>
  </si>
  <si>
    <r>
      <rPr>
        <sz val="10"/>
        <rFont val="DejaVu Sans"/>
        <family val="2"/>
      </rPr>
      <t xml:space="preserve">러닝</t>
    </r>
    <r>
      <rPr>
        <sz val="10"/>
        <rFont val="맑은 고딕"/>
        <family val="0"/>
        <charset val="1"/>
      </rPr>
      <t xml:space="preserve">,30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기록단축</t>
    </r>
  </si>
  <si>
    <r>
      <rPr>
        <sz val="10"/>
        <rFont val="맑은 고딕"/>
        <family val="0"/>
        <charset val="1"/>
      </rPr>
      <t xml:space="preserve">10km </t>
    </r>
    <r>
      <rPr>
        <sz val="10"/>
        <rFont val="DejaVu Sans"/>
        <family val="2"/>
      </rPr>
      <t xml:space="preserve">완주 훈련 플랜 </t>
    </r>
    <r>
      <rPr>
        <sz val="10"/>
        <rFont val="맑은 고딕"/>
        <family val="0"/>
        <charset val="1"/>
      </rPr>
      <t xml:space="preserve">8</t>
    </r>
    <r>
      <rPr>
        <sz val="10"/>
        <rFont val="DejaVu Sans"/>
        <family val="2"/>
      </rPr>
      <t xml:space="preserve">주</t>
    </r>
  </si>
  <si>
    <r>
      <rPr>
        <sz val="10"/>
        <rFont val="맑은 고딕"/>
        <family val="0"/>
        <charset val="1"/>
      </rPr>
      <t xml:space="preserve">10km </t>
    </r>
    <r>
      <rPr>
        <sz val="10"/>
        <rFont val="DejaVu Sans"/>
        <family val="2"/>
      </rPr>
      <t xml:space="preserve">완주</t>
    </r>
  </si>
  <si>
    <r>
      <rPr>
        <sz val="10"/>
        <rFont val="DejaVu Sans"/>
        <family val="2"/>
      </rPr>
      <t xml:space="preserve">하프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러닝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플랜</t>
    </r>
  </si>
  <si>
    <r>
      <rPr>
        <sz val="10"/>
        <rFont val="DejaVu Sans"/>
        <family val="2"/>
      </rPr>
      <t xml:space="preserve">러닝화 선택법 발모양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거리별</t>
    </r>
  </si>
  <si>
    <t xml:space="preserve">러닝화 추천</t>
  </si>
  <si>
    <r>
      <rPr>
        <sz val="10"/>
        <rFont val="DejaVu Sans"/>
        <family val="2"/>
      </rPr>
      <t xml:space="preserve">운동화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러닝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추천</t>
    </r>
  </si>
  <si>
    <t xml:space="preserve">심박수 존 활용 다이어트 러닝</t>
  </si>
  <si>
    <t xml:space="preserve">심박수 존</t>
  </si>
  <si>
    <r>
      <rPr>
        <sz val="10"/>
        <rFont val="DejaVu Sans"/>
        <family val="2"/>
      </rPr>
      <t xml:space="preserve">존</t>
    </r>
    <r>
      <rPr>
        <sz val="10"/>
        <rFont val="맑은 고딕"/>
        <family val="0"/>
        <charset val="1"/>
      </rPr>
      <t xml:space="preserve">2,</t>
    </r>
    <r>
      <rPr>
        <sz val="10"/>
        <rFont val="DejaVu Sans"/>
        <family val="2"/>
      </rPr>
      <t xml:space="preserve">러닝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다이어트</t>
    </r>
  </si>
  <si>
    <r>
      <rPr>
        <sz val="10"/>
        <rFont val="DejaVu Sans"/>
        <family val="2"/>
      </rPr>
      <t xml:space="preserve">걷기 </t>
    </r>
    <r>
      <rPr>
        <sz val="10"/>
        <rFont val="맑은 고딕"/>
        <family val="0"/>
        <charset val="1"/>
      </rPr>
      <t xml:space="preserve">vs </t>
    </r>
    <r>
      <rPr>
        <sz val="10"/>
        <rFont val="DejaVu Sans"/>
        <family val="2"/>
      </rPr>
      <t xml:space="preserve">뛰기 다이어트 효율 비교</t>
    </r>
  </si>
  <si>
    <t xml:space="preserve">걷기 뛰기</t>
  </si>
  <si>
    <r>
      <rPr>
        <sz val="10"/>
        <rFont val="DejaVu Sans"/>
        <family val="2"/>
      </rPr>
      <t xml:space="preserve">유산소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걷기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러닝</t>
    </r>
  </si>
  <si>
    <t xml:space="preserve">사이클링 입문과 근력 효과</t>
  </si>
  <si>
    <t xml:space="preserve">사이클링</t>
  </si>
  <si>
    <r>
      <rPr>
        <sz val="10"/>
        <rFont val="DejaVu Sans"/>
        <family val="2"/>
      </rPr>
      <t xml:space="preserve">자전거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유산소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근력</t>
    </r>
  </si>
  <si>
    <t xml:space="preserve">러닝 중 무릎 통증 원인과 해법</t>
  </si>
  <si>
    <t xml:space="preserve">러닝 무릎통증</t>
  </si>
  <si>
    <r>
      <rPr>
        <sz val="10"/>
        <rFont val="DejaVu Sans"/>
        <family val="2"/>
      </rPr>
      <t xml:space="preserve">슬개골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부상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러닝</t>
    </r>
  </si>
  <si>
    <r>
      <rPr>
        <sz val="10"/>
        <rFont val="맑은 고딕"/>
        <family val="0"/>
        <charset val="1"/>
      </rPr>
      <t xml:space="preserve">HIIT </t>
    </r>
    <r>
      <rPr>
        <sz val="10"/>
        <rFont val="DejaVu Sans"/>
        <family val="2"/>
      </rPr>
      <t xml:space="preserve">타바타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분 지방연소</t>
    </r>
  </si>
  <si>
    <r>
      <rPr>
        <sz val="10"/>
        <rFont val="맑은 고딕"/>
        <family val="0"/>
        <charset val="1"/>
      </rPr>
      <t xml:space="preserve">HIIT </t>
    </r>
    <r>
      <rPr>
        <sz val="10"/>
        <rFont val="DejaVu Sans"/>
        <family val="2"/>
      </rPr>
      <t xml:space="preserve">타바타</t>
    </r>
  </si>
  <si>
    <r>
      <rPr>
        <sz val="10"/>
        <rFont val="DejaVu Sans"/>
        <family val="2"/>
      </rPr>
      <t xml:space="preserve">인터벌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지방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타바타</t>
    </r>
  </si>
  <si>
    <r>
      <rPr>
        <sz val="10"/>
        <rFont val="DejaVu Sans"/>
        <family val="2"/>
      </rPr>
      <t xml:space="preserve">새벽 러닝 </t>
    </r>
    <r>
      <rPr>
        <sz val="10"/>
        <rFont val="맑은 고딕"/>
        <family val="0"/>
        <charset val="1"/>
      </rPr>
      <t xml:space="preserve">vs </t>
    </r>
    <r>
      <rPr>
        <sz val="10"/>
        <rFont val="DejaVu Sans"/>
        <family val="2"/>
      </rPr>
      <t xml:space="preserve">저녁 러닝 효과</t>
    </r>
  </si>
  <si>
    <t xml:space="preserve">새벽 저녁 러닝</t>
  </si>
  <si>
    <r>
      <rPr>
        <sz val="10"/>
        <rFont val="DejaVu Sans"/>
        <family val="2"/>
      </rPr>
      <t xml:space="preserve">시간대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러닝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효과</t>
    </r>
  </si>
  <si>
    <t xml:space="preserve">hometraining</t>
  </si>
  <si>
    <t xml:space="preserve">홈트레이닝</t>
  </si>
  <si>
    <r>
      <rPr>
        <sz val="10"/>
        <rFont val="DejaVu Sans"/>
        <family val="2"/>
      </rPr>
      <t xml:space="preserve">맨몸운동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일 챌린지 루틴</t>
    </r>
  </si>
  <si>
    <t xml:space="preserve">맨몸운동</t>
  </si>
  <si>
    <r>
      <rPr>
        <sz val="10"/>
        <rFont val="DejaVu Sans"/>
        <family val="2"/>
      </rPr>
      <t xml:space="preserve">홈트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칼리스테닉스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챌린지</t>
    </r>
  </si>
  <si>
    <t xml:space="preserve">덤벨 한 쌍으로 전신운동</t>
  </si>
  <si>
    <t xml:space="preserve">덤벨 홈트</t>
  </si>
  <si>
    <r>
      <rPr>
        <sz val="10"/>
        <rFont val="DejaVu Sans"/>
        <family val="2"/>
      </rPr>
      <t xml:space="preserve">덤벨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전신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홈트</t>
    </r>
  </si>
  <si>
    <t xml:space="preserve">사무실에서 할 수 있는 스트레칭</t>
  </si>
  <si>
    <t xml:space="preserve">사무실 스트레칭</t>
  </si>
  <si>
    <r>
      <rPr>
        <sz val="10"/>
        <rFont val="DejaVu Sans"/>
        <family val="2"/>
      </rPr>
      <t xml:space="preserve">직장인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스트레칭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목어깨</t>
    </r>
  </si>
  <si>
    <t xml:space="preserve">층간소음 안 나는 홈트 루틴</t>
  </si>
  <si>
    <t xml:space="preserve">층간소음 홈트</t>
  </si>
  <si>
    <r>
      <rPr>
        <sz val="10"/>
        <rFont val="DejaVu Sans"/>
        <family val="2"/>
      </rPr>
      <t xml:space="preserve">아파트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홈트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조용</t>
    </r>
  </si>
  <si>
    <t xml:space="preserve">매트 하나로 하는 복근운동</t>
  </si>
  <si>
    <t xml:space="preserve">매트 복근운동</t>
  </si>
  <si>
    <r>
      <rPr>
        <sz val="10"/>
        <rFont val="DejaVu Sans"/>
        <family val="2"/>
      </rPr>
      <t xml:space="preserve">플랭크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홈트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복근</t>
    </r>
  </si>
  <si>
    <r>
      <rPr>
        <sz val="10"/>
        <rFont val="DejaVu Sans"/>
        <family val="2"/>
      </rPr>
      <t xml:space="preserve">푸시업 </t>
    </r>
    <r>
      <rPr>
        <sz val="10"/>
        <rFont val="맑은 고딕"/>
        <family val="0"/>
        <charset val="1"/>
      </rPr>
      <t xml:space="preserve">0</t>
    </r>
    <r>
      <rPr>
        <sz val="10"/>
        <rFont val="DejaVu Sans"/>
        <family val="2"/>
      </rPr>
      <t xml:space="preserve">개에서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개까지</t>
    </r>
  </si>
  <si>
    <t xml:space="preserve">푸시업</t>
  </si>
  <si>
    <r>
      <rPr>
        <sz val="10"/>
        <rFont val="DejaVu Sans"/>
        <family val="2"/>
      </rPr>
      <t xml:space="preserve">팔굽혀펴기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홈트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가슴</t>
    </r>
  </si>
  <si>
    <r>
      <rPr>
        <sz val="10"/>
        <rFont val="DejaVu Sans"/>
        <family val="2"/>
      </rPr>
      <t xml:space="preserve">고정 자전거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분 루틴</t>
    </r>
  </si>
  <si>
    <t xml:space="preserve">고정 자전거</t>
  </si>
  <si>
    <r>
      <rPr>
        <sz val="10"/>
        <rFont val="DejaVu Sans"/>
        <family val="2"/>
      </rPr>
      <t xml:space="preserve">실내자전거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유산소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홈트</t>
    </r>
  </si>
  <si>
    <r>
      <rPr>
        <sz val="10"/>
        <rFont val="DejaVu Sans"/>
        <family val="2"/>
      </rPr>
      <t xml:space="preserve">요가 초보 </t>
    </r>
    <r>
      <rPr>
        <sz val="10"/>
        <rFont val="맑은 고딕"/>
        <family val="0"/>
        <charset val="1"/>
      </rPr>
      <t xml:space="preserve">15</t>
    </r>
    <r>
      <rPr>
        <sz val="10"/>
        <rFont val="DejaVu Sans"/>
        <family val="2"/>
      </rPr>
      <t xml:space="preserve">분 모닝 루틴</t>
    </r>
  </si>
  <si>
    <t xml:space="preserve">요가 초보</t>
  </si>
  <si>
    <r>
      <rPr>
        <sz val="10"/>
        <rFont val="DejaVu Sans"/>
        <family val="2"/>
      </rPr>
      <t xml:space="preserve">모닝요가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홈요가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스트레칭</t>
    </r>
  </si>
  <si>
    <r>
      <rPr>
        <sz val="10"/>
        <rFont val="DejaVu Sans"/>
        <family val="2"/>
      </rPr>
      <t xml:space="preserve">필라테스 기초 동작 </t>
    </r>
    <r>
      <rPr>
        <sz val="10"/>
        <rFont val="맑은 고딕"/>
        <family val="0"/>
        <charset val="1"/>
      </rPr>
      <t xml:space="preserve">7</t>
    </r>
    <r>
      <rPr>
        <sz val="10"/>
        <rFont val="DejaVu Sans"/>
        <family val="2"/>
      </rPr>
      <t xml:space="preserve">가지</t>
    </r>
  </si>
  <si>
    <t xml:space="preserve">필라테스 기초</t>
  </si>
  <si>
    <r>
      <rPr>
        <sz val="10"/>
        <rFont val="DejaVu Sans"/>
        <family val="2"/>
      </rPr>
      <t xml:space="preserve">홈필라테스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코어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기초</t>
    </r>
  </si>
  <si>
    <t xml:space="preserve">케틀벨 하나로 전신 강화</t>
  </si>
  <si>
    <t xml:space="preserve">케틀벨</t>
  </si>
  <si>
    <r>
      <rPr>
        <sz val="10"/>
        <rFont val="DejaVu Sans"/>
        <family val="2"/>
      </rPr>
      <t xml:space="preserve">스윙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전신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홈트</t>
    </r>
  </si>
  <si>
    <t xml:space="preserve">nutrition</t>
  </si>
  <si>
    <r>
      <rPr>
        <b val="true"/>
        <sz val="10"/>
        <color rgb="FF6B9D7A"/>
        <rFont val="DejaVu Sans"/>
        <family val="2"/>
      </rPr>
      <t xml:space="preserve">식단</t>
    </r>
    <r>
      <rPr>
        <b val="true"/>
        <sz val="10"/>
        <color rgb="FF6B9D7A"/>
        <rFont val="맑은 고딕"/>
        <family val="0"/>
        <charset val="1"/>
      </rPr>
      <t xml:space="preserve">·</t>
    </r>
    <r>
      <rPr>
        <b val="true"/>
        <sz val="10"/>
        <color rgb="FF6B9D7A"/>
        <rFont val="DejaVu Sans"/>
        <family val="2"/>
      </rPr>
      <t xml:space="preserve">영양</t>
    </r>
  </si>
  <si>
    <t xml:space="preserve">단백질 하루 얼마나 먹어야 할까</t>
  </si>
  <si>
    <t xml:space="preserve">단백질 섭취량</t>
  </si>
  <si>
    <r>
      <rPr>
        <sz val="10"/>
        <rFont val="DejaVu Sans"/>
        <family val="2"/>
      </rPr>
      <t xml:space="preserve">하루단백질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근성장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식단</t>
    </r>
  </si>
  <si>
    <t xml:space="preserve">park-jiwon</t>
  </si>
  <si>
    <t xml:space="preserve">탄수화물 현명하게 고르는 법</t>
  </si>
  <si>
    <t xml:space="preserve">탄수화물 종류</t>
  </si>
  <si>
    <r>
      <rPr>
        <sz val="10"/>
        <rFont val="맑은 고딕"/>
        <family val="0"/>
        <charset val="1"/>
      </rPr>
      <t xml:space="preserve">GI</t>
    </r>
    <r>
      <rPr>
        <sz val="10"/>
        <rFont val="DejaVu Sans"/>
        <family val="2"/>
      </rPr>
      <t xml:space="preserve">지수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혈당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탄수</t>
    </r>
  </si>
  <si>
    <r>
      <rPr>
        <sz val="10"/>
        <rFont val="DejaVu Sans"/>
        <family val="2"/>
      </rPr>
      <t xml:space="preserve">지방 오해와 진실 포화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불포화</t>
    </r>
  </si>
  <si>
    <t xml:space="preserve">지방 섭취</t>
  </si>
  <si>
    <r>
      <rPr>
        <sz val="10"/>
        <rFont val="DejaVu Sans"/>
        <family val="2"/>
      </rPr>
      <t xml:space="preserve">오메가</t>
    </r>
    <r>
      <rPr>
        <sz val="10"/>
        <rFont val="맑은 고딕"/>
        <family val="0"/>
        <charset val="1"/>
      </rPr>
      <t xml:space="preserve">3,</t>
    </r>
    <r>
      <rPr>
        <sz val="10"/>
        <rFont val="DejaVu Sans"/>
        <family val="2"/>
      </rPr>
      <t xml:space="preserve">포화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불포화</t>
    </r>
  </si>
  <si>
    <t xml:space="preserve">식이섬유 섭취로 장 건강 챙기기</t>
  </si>
  <si>
    <t xml:space="preserve">식이섬유</t>
  </si>
  <si>
    <r>
      <rPr>
        <sz val="10"/>
        <rFont val="DejaVu Sans"/>
        <family val="2"/>
      </rPr>
      <t xml:space="preserve">장건강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변비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프리바이오틱스</t>
    </r>
  </si>
  <si>
    <r>
      <rPr>
        <sz val="10"/>
        <rFont val="DejaVu Sans"/>
        <family val="2"/>
      </rPr>
      <t xml:space="preserve">비타민 </t>
    </r>
    <r>
      <rPr>
        <sz val="10"/>
        <rFont val="맑은 고딕"/>
        <family val="0"/>
        <charset val="1"/>
      </rPr>
      <t xml:space="preserve">D </t>
    </r>
    <r>
      <rPr>
        <sz val="10"/>
        <rFont val="DejaVu Sans"/>
        <family val="2"/>
      </rPr>
      <t xml:space="preserve">결핍 증상과 보충법</t>
    </r>
  </si>
  <si>
    <r>
      <rPr>
        <sz val="10"/>
        <rFont val="DejaVu Sans"/>
        <family val="2"/>
      </rPr>
      <t xml:space="preserve">비타민</t>
    </r>
    <r>
      <rPr>
        <sz val="10"/>
        <rFont val="맑은 고딕"/>
        <family val="0"/>
        <charset val="1"/>
      </rPr>
      <t xml:space="preserve">D</t>
    </r>
  </si>
  <si>
    <r>
      <rPr>
        <sz val="10"/>
        <rFont val="DejaVu Sans"/>
        <family val="2"/>
      </rPr>
      <t xml:space="preserve">햇빛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뼈건강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결핍</t>
    </r>
  </si>
  <si>
    <t xml:space="preserve">철분 부족 증상 자가 체크</t>
  </si>
  <si>
    <t xml:space="preserve">철분 결핍</t>
  </si>
  <si>
    <r>
      <rPr>
        <sz val="10"/>
        <rFont val="DejaVu Sans"/>
        <family val="2"/>
      </rPr>
      <t xml:space="preserve">빈혈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피로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철분제</t>
    </r>
  </si>
  <si>
    <t xml:space="preserve">마그네슘 효능과 하루 권장량</t>
  </si>
  <si>
    <t xml:space="preserve">마그네슘</t>
  </si>
  <si>
    <r>
      <rPr>
        <sz val="10"/>
        <rFont val="DejaVu Sans"/>
        <family val="2"/>
      </rPr>
      <t xml:space="preserve">근육경련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수면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미네랄</t>
    </r>
  </si>
  <si>
    <r>
      <rPr>
        <sz val="10"/>
        <rFont val="DejaVu Sans"/>
        <family val="2"/>
      </rPr>
      <t xml:space="preserve">오메가</t>
    </r>
    <r>
      <rPr>
        <sz val="10"/>
        <rFont val="맑은 고딕"/>
        <family val="0"/>
        <charset val="1"/>
      </rPr>
      <t xml:space="preserve">3 </t>
    </r>
    <r>
      <rPr>
        <sz val="10"/>
        <rFont val="DejaVu Sans"/>
        <family val="2"/>
      </rPr>
      <t xml:space="preserve">효능과 올바른 복용법</t>
    </r>
  </si>
  <si>
    <r>
      <rPr>
        <sz val="10"/>
        <rFont val="DejaVu Sans"/>
        <family val="2"/>
      </rPr>
      <t xml:space="preserve">오메가</t>
    </r>
    <r>
      <rPr>
        <sz val="10"/>
        <rFont val="맑은 고딕"/>
        <family val="0"/>
        <charset val="1"/>
      </rPr>
      <t xml:space="preserve">3</t>
    </r>
  </si>
  <si>
    <r>
      <rPr>
        <sz val="10"/>
        <rFont val="맑은 고딕"/>
        <family val="0"/>
        <charset val="1"/>
      </rPr>
      <t xml:space="preserve">EPA,DHA,</t>
    </r>
    <r>
      <rPr>
        <sz val="10"/>
        <rFont val="DejaVu Sans"/>
        <family val="2"/>
      </rPr>
      <t xml:space="preserve">혈관</t>
    </r>
  </si>
  <si>
    <r>
      <rPr>
        <sz val="10"/>
        <rFont val="DejaVu Sans"/>
        <family val="2"/>
      </rPr>
      <t xml:space="preserve">건강한 아침식사 </t>
    </r>
    <r>
      <rPr>
        <sz val="10"/>
        <rFont val="맑은 고딕"/>
        <family val="0"/>
        <charset val="1"/>
      </rPr>
      <t xml:space="preserve">7</t>
    </r>
    <r>
      <rPr>
        <sz val="10"/>
        <rFont val="DejaVu Sans"/>
        <family val="2"/>
      </rPr>
      <t xml:space="preserve">가지 메뉴</t>
    </r>
  </si>
  <si>
    <t xml:space="preserve">아침식사</t>
  </si>
  <si>
    <r>
      <rPr>
        <sz val="10"/>
        <rFont val="DejaVu Sans"/>
        <family val="2"/>
      </rPr>
      <t xml:space="preserve">모닝식단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대사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아침</t>
    </r>
  </si>
  <si>
    <t xml:space="preserve">퇴근 후 간단 저녁 레시피</t>
  </si>
  <si>
    <t xml:space="preserve">저녁 레시피</t>
  </si>
  <si>
    <r>
      <rPr>
        <sz val="10"/>
        <rFont val="DejaVu Sans"/>
        <family val="2"/>
      </rPr>
      <t xml:space="preserve">간편저녁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건강식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저녁</t>
    </r>
  </si>
  <si>
    <r>
      <rPr>
        <sz val="10"/>
        <rFont val="DejaVu Sans"/>
        <family val="2"/>
      </rPr>
      <t xml:space="preserve">설탕 중독 끊는 </t>
    </r>
    <r>
      <rPr>
        <sz val="10"/>
        <rFont val="맑은 고딕"/>
        <family val="0"/>
        <charset val="1"/>
      </rPr>
      <t xml:space="preserve">7</t>
    </r>
    <r>
      <rPr>
        <sz val="10"/>
        <rFont val="DejaVu Sans"/>
        <family val="2"/>
      </rPr>
      <t xml:space="preserve">일 프로그램</t>
    </r>
  </si>
  <si>
    <t xml:space="preserve">설탕 끊기</t>
  </si>
  <si>
    <r>
      <rPr>
        <sz val="10"/>
        <rFont val="DejaVu Sans"/>
        <family val="2"/>
      </rPr>
      <t xml:space="preserve">당중독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디톡스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혈당</t>
    </r>
  </si>
  <si>
    <t xml:space="preserve">수분섭취 하루 얼마나 필요할까</t>
  </si>
  <si>
    <t xml:space="preserve">하루 물 섭취량</t>
  </si>
  <si>
    <r>
      <rPr>
        <sz val="10"/>
        <rFont val="DejaVu Sans"/>
        <family val="2"/>
      </rPr>
      <t xml:space="preserve">물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수분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탈수</t>
    </r>
  </si>
  <si>
    <t xml:space="preserve">health</t>
  </si>
  <si>
    <r>
      <rPr>
        <b val="true"/>
        <sz val="10"/>
        <color rgb="FF6B9D7A"/>
        <rFont val="DejaVu Sans"/>
        <family val="2"/>
      </rPr>
      <t xml:space="preserve">건강</t>
    </r>
    <r>
      <rPr>
        <b val="true"/>
        <sz val="10"/>
        <color rgb="FF6B9D7A"/>
        <rFont val="맑은 고딕"/>
        <family val="0"/>
        <charset val="1"/>
      </rPr>
      <t xml:space="preserve">·</t>
    </r>
    <r>
      <rPr>
        <b val="true"/>
        <sz val="10"/>
        <color rgb="FF6B9D7A"/>
        <rFont val="DejaVu Sans"/>
        <family val="2"/>
      </rPr>
      <t xml:space="preserve">웰빙</t>
    </r>
  </si>
  <si>
    <r>
      <rPr>
        <sz val="10"/>
        <rFont val="DejaVu Sans"/>
        <family val="2"/>
      </rPr>
      <t xml:space="preserve">수면의 질 높이는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가지 습관</t>
    </r>
  </si>
  <si>
    <t xml:space="preserve">수면의 질</t>
  </si>
  <si>
    <r>
      <rPr>
        <sz val="10"/>
        <rFont val="DejaVu Sans"/>
        <family val="2"/>
      </rPr>
      <t xml:space="preserve">불면증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수면위생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멜라토닌</t>
    </r>
  </si>
  <si>
    <t xml:space="preserve">스트레스 관리 호흡법과 명상</t>
  </si>
  <si>
    <t xml:space="preserve">스트레스 관리</t>
  </si>
  <si>
    <r>
      <rPr>
        <sz val="10"/>
        <rFont val="DejaVu Sans"/>
        <family val="2"/>
      </rPr>
      <t xml:space="preserve">호흡법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명상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이완</t>
    </r>
  </si>
  <si>
    <t xml:space="preserve">허리통증 원인과 예방 스트레칭</t>
  </si>
  <si>
    <t xml:space="preserve">허리통증</t>
  </si>
  <si>
    <r>
      <rPr>
        <sz val="10"/>
        <rFont val="DejaVu Sans"/>
        <family val="2"/>
      </rPr>
      <t xml:space="preserve">요통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스트레칭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자세</t>
    </r>
  </si>
  <si>
    <r>
      <rPr>
        <sz val="10"/>
        <rFont val="DejaVu Sans"/>
        <family val="2"/>
      </rPr>
      <t xml:space="preserve">목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어깨 거북목 교정 루틴</t>
    </r>
  </si>
  <si>
    <t xml:space="preserve">거북목 교정</t>
  </si>
  <si>
    <r>
      <rPr>
        <sz val="10"/>
        <rFont val="DejaVu Sans"/>
        <family val="2"/>
      </rPr>
      <t xml:space="preserve">거북목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자세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목디스크</t>
    </r>
  </si>
  <si>
    <t xml:space="preserve">무릎 건강 지키는 일상 습관</t>
  </si>
  <si>
    <t xml:space="preserve">무릎 건강</t>
  </si>
  <si>
    <r>
      <rPr>
        <sz val="10"/>
        <rFont val="DejaVu Sans"/>
        <family val="2"/>
      </rPr>
      <t xml:space="preserve">관절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무릎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연골</t>
    </r>
  </si>
  <si>
    <t xml:space="preserve">혈압 관리 식단과 생활습관</t>
  </si>
  <si>
    <t xml:space="preserve">혈압 관리</t>
  </si>
  <si>
    <r>
      <rPr>
        <sz val="10"/>
        <rFont val="DejaVu Sans"/>
        <family val="2"/>
      </rPr>
      <t xml:space="preserve">고혈압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저염식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혈압</t>
    </r>
  </si>
  <si>
    <t xml:space="preserve">혈당 관리 식사 순서와 운동</t>
  </si>
  <si>
    <t xml:space="preserve">혈당 관리</t>
  </si>
  <si>
    <r>
      <rPr>
        <sz val="10"/>
        <rFont val="DejaVu Sans"/>
        <family val="2"/>
      </rPr>
      <t xml:space="preserve">당뇨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혈당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식사순서</t>
    </r>
  </si>
  <si>
    <t xml:space="preserve">장 건강과 프로바이오틱스 선택</t>
  </si>
  <si>
    <t xml:space="preserve">장 건강</t>
  </si>
  <si>
    <r>
      <rPr>
        <sz val="10"/>
        <rFont val="DejaVu Sans"/>
        <family val="2"/>
      </rPr>
      <t xml:space="preserve">유산균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프로바이오틱스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장</t>
    </r>
  </si>
  <si>
    <t xml:space="preserve">여성 생리주기와 컨디션 관리</t>
  </si>
  <si>
    <t xml:space="preserve">생리주기 관리</t>
  </si>
  <si>
    <r>
      <rPr>
        <sz val="10"/>
        <rFont val="DejaVu Sans"/>
        <family val="2"/>
      </rPr>
      <t xml:space="preserve">호르몬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생리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컨디션</t>
    </r>
  </si>
  <si>
    <t xml:space="preserve">남성 갱년기 증상과 대처법</t>
  </si>
  <si>
    <t xml:space="preserve">남성 갱년기</t>
  </si>
  <si>
    <r>
      <rPr>
        <sz val="10"/>
        <rFont val="DejaVu Sans"/>
        <family val="2"/>
      </rPr>
      <t xml:space="preserve">테스토스테론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갱년기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남성</t>
    </r>
  </si>
  <si>
    <t xml:space="preserve">supplement</t>
  </si>
  <si>
    <r>
      <rPr>
        <b val="true"/>
        <sz val="10"/>
        <color rgb="FF6B9D7A"/>
        <rFont val="DejaVu Sans"/>
        <family val="2"/>
      </rPr>
      <t xml:space="preserve">보충제</t>
    </r>
    <r>
      <rPr>
        <b val="true"/>
        <sz val="10"/>
        <color rgb="FF6B9D7A"/>
        <rFont val="맑은 고딕"/>
        <family val="0"/>
        <charset val="1"/>
      </rPr>
      <t xml:space="preserve">·</t>
    </r>
    <r>
      <rPr>
        <b val="true"/>
        <sz val="10"/>
        <color rgb="FF6B9D7A"/>
        <rFont val="DejaVu Sans"/>
        <family val="2"/>
      </rPr>
      <t xml:space="preserve">영양제</t>
    </r>
  </si>
  <si>
    <r>
      <rPr>
        <sz val="10"/>
        <rFont val="맑은 고딕"/>
        <family val="0"/>
        <charset val="1"/>
      </rPr>
      <t xml:space="preserve">WPI vs WPC </t>
    </r>
    <r>
      <rPr>
        <sz val="10"/>
        <rFont val="DejaVu Sans"/>
        <family val="2"/>
      </rPr>
      <t xml:space="preserve">단백질 보충제 차이</t>
    </r>
  </si>
  <si>
    <t xml:space="preserve">WPI WPC</t>
  </si>
  <si>
    <r>
      <rPr>
        <sz val="10"/>
        <rFont val="DejaVu Sans"/>
        <family val="2"/>
      </rPr>
      <t xml:space="preserve">유청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단백질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보충제</t>
    </r>
  </si>
  <si>
    <t xml:space="preserve">크레아틴 효능과 복용법</t>
  </si>
  <si>
    <t xml:space="preserve">크레아틴</t>
  </si>
  <si>
    <r>
      <rPr>
        <sz val="10"/>
        <rFont val="DejaVu Sans"/>
        <family val="2"/>
      </rPr>
      <t xml:space="preserve">근력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보충제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모노하이드레이트</t>
    </r>
  </si>
  <si>
    <r>
      <rPr>
        <sz val="10"/>
        <rFont val="맑은 고딕"/>
        <family val="0"/>
        <charset val="1"/>
      </rPr>
      <t xml:space="preserve">BCAA </t>
    </r>
    <r>
      <rPr>
        <sz val="10"/>
        <rFont val="DejaVu Sans"/>
        <family val="2"/>
      </rPr>
      <t xml:space="preserve">정말 필요할까</t>
    </r>
  </si>
  <si>
    <t xml:space="preserve">BCAA</t>
  </si>
  <si>
    <r>
      <rPr>
        <sz val="10"/>
        <rFont val="DejaVu Sans"/>
        <family val="2"/>
      </rPr>
      <t xml:space="preserve">필수아미노산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보충제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근성장</t>
    </r>
  </si>
  <si>
    <t xml:space="preserve">프리워크아웃 효과와 부작용</t>
  </si>
  <si>
    <t xml:space="preserve">프리워크아웃</t>
  </si>
  <si>
    <r>
      <rPr>
        <sz val="10"/>
        <rFont val="DejaVu Sans"/>
        <family val="2"/>
      </rPr>
      <t xml:space="preserve">카페인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부스터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운동전</t>
    </r>
  </si>
  <si>
    <r>
      <rPr>
        <sz val="10"/>
        <rFont val="DejaVu Sans"/>
        <family val="2"/>
      </rPr>
      <t xml:space="preserve">비타민</t>
    </r>
    <r>
      <rPr>
        <sz val="10"/>
        <rFont val="맑은 고딕"/>
        <family val="0"/>
        <charset val="1"/>
      </rPr>
      <t xml:space="preserve">C </t>
    </r>
    <r>
      <rPr>
        <sz val="10"/>
        <rFont val="DejaVu Sans"/>
        <family val="2"/>
      </rPr>
      <t xml:space="preserve">고용량 복용 안전한가</t>
    </r>
  </si>
  <si>
    <r>
      <rPr>
        <sz val="10"/>
        <rFont val="DejaVu Sans"/>
        <family val="2"/>
      </rPr>
      <t xml:space="preserve">비타민</t>
    </r>
    <r>
      <rPr>
        <sz val="10"/>
        <rFont val="맑은 고딕"/>
        <family val="0"/>
        <charset val="1"/>
      </rPr>
      <t xml:space="preserve">C</t>
    </r>
  </si>
  <si>
    <r>
      <rPr>
        <sz val="10"/>
        <rFont val="DejaVu Sans"/>
        <family val="2"/>
      </rPr>
      <t xml:space="preserve">메가도스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항산화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감기</t>
    </r>
  </si>
  <si>
    <t xml:space="preserve">콜라겐 보충제 실제 효과</t>
  </si>
  <si>
    <t xml:space="preserve">콜라겐</t>
  </si>
  <si>
    <r>
      <rPr>
        <sz val="10"/>
        <rFont val="DejaVu Sans"/>
        <family val="2"/>
      </rPr>
      <t xml:space="preserve">피부탄력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저분자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콜라겐펩타이드</t>
    </r>
  </si>
  <si>
    <t xml:space="preserve">프로바이오틱스 균주별 차이</t>
  </si>
  <si>
    <t xml:space="preserve">프로바이오틱스 균주</t>
  </si>
  <si>
    <r>
      <rPr>
        <sz val="10"/>
        <rFont val="DejaVu Sans"/>
        <family val="2"/>
      </rPr>
      <t xml:space="preserve">락토바실러스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비피도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장</t>
    </r>
  </si>
  <si>
    <t xml:space="preserve">멀티비타민 꼭 먹어야 하나</t>
  </si>
  <si>
    <t xml:space="preserve">멀티비타민</t>
  </si>
  <si>
    <r>
      <rPr>
        <sz val="10"/>
        <rFont val="DejaVu Sans"/>
        <family val="2"/>
      </rPr>
      <t xml:space="preserve">종합비타민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영양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보충</t>
    </r>
  </si>
  <si>
    <t xml:space="preserve">skincare</t>
  </si>
  <si>
    <t xml:space="preserve">스킨케어</t>
  </si>
  <si>
    <t xml:space="preserve">피부 타입별 클렌저 고르는 법</t>
  </si>
  <si>
    <t xml:space="preserve">피부 타입 클렌저</t>
  </si>
  <si>
    <r>
      <rPr>
        <sz val="10"/>
        <rFont val="DejaVu Sans"/>
        <family val="2"/>
      </rPr>
      <t xml:space="preserve">지성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건성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민감성</t>
    </r>
  </si>
  <si>
    <t xml:space="preserve">lee-soyoung</t>
  </si>
  <si>
    <t xml:space="preserve">더블 클렌징 정확한 순서</t>
  </si>
  <si>
    <t xml:space="preserve">더블 클렌징</t>
  </si>
  <si>
    <r>
      <rPr>
        <sz val="10"/>
        <rFont val="DejaVu Sans"/>
        <family val="2"/>
      </rPr>
      <t xml:space="preserve">오일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폼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클렌징</t>
    </r>
  </si>
  <si>
    <t xml:space="preserve">레티놀 입문 제대로 시작하기</t>
  </si>
  <si>
    <t xml:space="preserve">레티놀 입문</t>
  </si>
  <si>
    <r>
      <rPr>
        <sz val="10"/>
        <rFont val="DejaVu Sans"/>
        <family val="2"/>
      </rPr>
      <t xml:space="preserve">레티놀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노화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초보</t>
    </r>
  </si>
  <si>
    <r>
      <rPr>
        <sz val="10"/>
        <rFont val="DejaVu Sans"/>
        <family val="2"/>
      </rPr>
      <t xml:space="preserve">비타민</t>
    </r>
    <r>
      <rPr>
        <sz val="10"/>
        <rFont val="맑은 고딕"/>
        <family val="0"/>
        <charset val="1"/>
      </rPr>
      <t xml:space="preserve">C </t>
    </r>
    <r>
      <rPr>
        <sz val="10"/>
        <rFont val="DejaVu Sans"/>
        <family val="2"/>
      </rPr>
      <t xml:space="preserve">세럼 선택과 사용법</t>
    </r>
  </si>
  <si>
    <r>
      <rPr>
        <sz val="10"/>
        <rFont val="DejaVu Sans"/>
        <family val="2"/>
      </rPr>
      <t xml:space="preserve">비타민</t>
    </r>
    <r>
      <rPr>
        <sz val="10"/>
        <rFont val="맑은 고딕"/>
        <family val="0"/>
        <charset val="1"/>
      </rPr>
      <t xml:space="preserve">C </t>
    </r>
    <r>
      <rPr>
        <sz val="10"/>
        <rFont val="DejaVu Sans"/>
        <family val="2"/>
      </rPr>
      <t xml:space="preserve">세럼</t>
    </r>
  </si>
  <si>
    <r>
      <rPr>
        <sz val="10"/>
        <rFont val="DejaVu Sans"/>
        <family val="2"/>
      </rPr>
      <t xml:space="preserve">브라이트닝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아스코르빈산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세럼</t>
    </r>
  </si>
  <si>
    <r>
      <rPr>
        <sz val="10"/>
        <rFont val="DejaVu Sans"/>
        <family val="2"/>
      </rPr>
      <t xml:space="preserve">자외선차단제 물리 </t>
    </r>
    <r>
      <rPr>
        <sz val="10"/>
        <rFont val="맑은 고딕"/>
        <family val="0"/>
        <charset val="1"/>
      </rPr>
      <t xml:space="preserve">vs </t>
    </r>
    <r>
      <rPr>
        <sz val="10"/>
        <rFont val="DejaVu Sans"/>
        <family val="2"/>
      </rPr>
      <t xml:space="preserve">화학</t>
    </r>
  </si>
  <si>
    <t xml:space="preserve">선크림 물리 화학</t>
  </si>
  <si>
    <r>
      <rPr>
        <sz val="10"/>
        <rFont val="DejaVu Sans"/>
        <family val="2"/>
      </rPr>
      <t xml:space="preserve">선크림</t>
    </r>
    <r>
      <rPr>
        <sz val="10"/>
        <rFont val="맑은 고딕"/>
        <family val="0"/>
        <charset val="1"/>
      </rPr>
      <t xml:space="preserve">,UV,</t>
    </r>
    <r>
      <rPr>
        <sz val="10"/>
        <rFont val="DejaVu Sans"/>
        <family val="2"/>
      </rPr>
      <t xml:space="preserve">자외선</t>
    </r>
  </si>
  <si>
    <t xml:space="preserve">여드름 관리 생활습관과 성분</t>
  </si>
  <si>
    <t xml:space="preserve">여드름 관리</t>
  </si>
  <si>
    <r>
      <rPr>
        <sz val="10"/>
        <rFont val="DejaVu Sans"/>
        <family val="2"/>
      </rPr>
      <t xml:space="preserve">트러블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살리실산</t>
    </r>
    <r>
      <rPr>
        <sz val="10"/>
        <rFont val="맑은 고딕"/>
        <family val="0"/>
        <charset val="1"/>
      </rPr>
      <t xml:space="preserve">,BHA</t>
    </r>
  </si>
  <si>
    <t xml:space="preserve">민감성 피부 진정 루틴</t>
  </si>
  <si>
    <t xml:space="preserve">민감성 피부</t>
  </si>
  <si>
    <r>
      <rPr>
        <sz val="10"/>
        <rFont val="DejaVu Sans"/>
        <family val="2"/>
      </rPr>
      <t xml:space="preserve">레드니스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진정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민감성</t>
    </r>
  </si>
  <si>
    <t xml:space="preserve">모공 관리 현실적 방법</t>
  </si>
  <si>
    <t xml:space="preserve">모공 관리</t>
  </si>
  <si>
    <r>
      <rPr>
        <sz val="10"/>
        <rFont val="DejaVu Sans"/>
        <family val="2"/>
      </rPr>
      <t xml:space="preserve">모공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각질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피지</t>
    </r>
  </si>
  <si>
    <r>
      <rPr>
        <sz val="10"/>
        <rFont val="DejaVu Sans"/>
        <family val="2"/>
      </rPr>
      <t xml:space="preserve">기초 스킨케어 </t>
    </r>
    <r>
      <rPr>
        <sz val="10"/>
        <rFont val="맑은 고딕"/>
        <family val="0"/>
        <charset val="1"/>
      </rPr>
      <t xml:space="preserve">7</t>
    </r>
    <r>
      <rPr>
        <sz val="10"/>
        <rFont val="DejaVu Sans"/>
        <family val="2"/>
      </rPr>
      <t xml:space="preserve">단계 한국식 루틴</t>
    </r>
  </si>
  <si>
    <t xml:space="preserve">한국 스킨케어</t>
  </si>
  <si>
    <r>
      <rPr>
        <sz val="10"/>
        <rFont val="맑은 고딕"/>
        <family val="0"/>
        <charset val="1"/>
      </rPr>
      <t xml:space="preserve">K</t>
    </r>
    <r>
      <rPr>
        <sz val="10"/>
        <rFont val="DejaVu Sans"/>
        <family val="2"/>
      </rPr>
      <t xml:space="preserve">뷰티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기초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루틴</t>
    </r>
  </si>
  <si>
    <r>
      <rPr>
        <sz val="10"/>
        <rFont val="DejaVu Sans"/>
        <family val="2"/>
      </rPr>
      <t xml:space="preserve">사춘기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대 피부 관리법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</si>
  <si>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대 스킨케어</t>
    </r>
  </si>
  <si>
    <r>
      <rPr>
        <sz val="10"/>
        <rFont val="DejaVu Sans"/>
        <family val="2"/>
      </rPr>
      <t xml:space="preserve">사춘기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트러블</t>
    </r>
    <r>
      <rPr>
        <sz val="10"/>
        <rFont val="맑은 고딕"/>
        <family val="0"/>
        <charset val="1"/>
      </rPr>
      <t xml:space="preserve">,10</t>
    </r>
    <r>
      <rPr>
        <sz val="10"/>
        <rFont val="DejaVu Sans"/>
        <family val="2"/>
      </rPr>
      <t xml:space="preserve">대</t>
    </r>
  </si>
  <si>
    <r>
      <rPr>
        <sz val="10"/>
        <rFont val="맑은 고딕"/>
        <family val="0"/>
        <charset val="1"/>
      </rPr>
      <t xml:space="preserve">40</t>
    </r>
    <r>
      <rPr>
        <sz val="10"/>
        <rFont val="DejaVu Sans"/>
        <family val="2"/>
      </rPr>
      <t xml:space="preserve">대 안티에이징 핵심 성분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가지</t>
    </r>
  </si>
  <si>
    <t xml:space="preserve">안티에이징 성분</t>
  </si>
  <si>
    <r>
      <rPr>
        <sz val="10"/>
        <rFont val="DejaVu Sans"/>
        <family val="2"/>
      </rPr>
      <t xml:space="preserve">레티놀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펩타이드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노화</t>
    </r>
  </si>
  <si>
    <t xml:space="preserve">환절기 피부 장벽 회복 루틴</t>
  </si>
  <si>
    <t xml:space="preserve">피부 장벽 회복</t>
  </si>
  <si>
    <r>
      <rPr>
        <sz val="10"/>
        <rFont val="DejaVu Sans"/>
        <family val="2"/>
      </rPr>
      <t xml:space="preserve">장벽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세라마이드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건조</t>
    </r>
  </si>
  <si>
    <t xml:space="preserve">beauty</t>
  </si>
  <si>
    <r>
      <rPr>
        <b val="true"/>
        <sz val="10"/>
        <color rgb="FFD96A8E"/>
        <rFont val="DejaVu Sans"/>
        <family val="2"/>
      </rPr>
      <t xml:space="preserve">뷰티</t>
    </r>
    <r>
      <rPr>
        <b val="true"/>
        <sz val="10"/>
        <color rgb="FFD96A8E"/>
        <rFont val="맑은 고딕"/>
        <family val="0"/>
        <charset val="1"/>
      </rPr>
      <t xml:space="preserve">·</t>
    </r>
    <r>
      <rPr>
        <b val="true"/>
        <sz val="10"/>
        <color rgb="FFD96A8E"/>
        <rFont val="DejaVu Sans"/>
        <family val="2"/>
      </rPr>
      <t xml:space="preserve">메이크업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</si>
  <si>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일차 메이크업 자연스러운 베이스</t>
    </r>
  </si>
  <si>
    <t xml:space="preserve">자연스러운 베이스</t>
  </si>
  <si>
    <r>
      <rPr>
        <sz val="10"/>
        <rFont val="DejaVu Sans"/>
        <family val="2"/>
      </rPr>
      <t xml:space="preserve">쿠션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파운데이션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톤</t>
    </r>
  </si>
  <si>
    <t xml:space="preserve">아이메이크업 퍼스널컬러별 추천</t>
  </si>
  <si>
    <t xml:space="preserve">퍼스널컬러 아이섀도</t>
  </si>
  <si>
    <r>
      <rPr>
        <sz val="10"/>
        <rFont val="DejaVu Sans"/>
        <family val="2"/>
      </rPr>
      <t xml:space="preserve">웜톤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쿨톤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아이메이크업</t>
    </r>
  </si>
  <si>
    <t xml:space="preserve">립 메이크업 지속력 높이는 팁</t>
  </si>
  <si>
    <t xml:space="preserve">립메이크업 지속력</t>
  </si>
  <si>
    <r>
      <rPr>
        <sz val="10"/>
        <rFont val="DejaVu Sans"/>
        <family val="2"/>
      </rPr>
      <t xml:space="preserve">립스틱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틴트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지속력</t>
    </r>
  </si>
  <si>
    <r>
      <rPr>
        <sz val="10"/>
        <rFont val="DejaVu Sans"/>
        <family val="2"/>
      </rPr>
      <t xml:space="preserve">속눈썹 연장 </t>
    </r>
    <r>
      <rPr>
        <sz val="10"/>
        <rFont val="맑은 고딕"/>
        <family val="0"/>
        <charset val="1"/>
      </rPr>
      <t xml:space="preserve">vs </t>
    </r>
    <r>
      <rPr>
        <sz val="10"/>
        <rFont val="DejaVu Sans"/>
        <family val="2"/>
      </rPr>
      <t xml:space="preserve">마스카라 비교</t>
    </r>
  </si>
  <si>
    <t xml:space="preserve">속눈썹 연장</t>
  </si>
  <si>
    <r>
      <rPr>
        <sz val="10"/>
        <rFont val="DejaVu Sans"/>
        <family val="2"/>
      </rPr>
      <t xml:space="preserve">속눈썹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마스카라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뷰티</t>
    </r>
  </si>
  <si>
    <t xml:space="preserve">헤어케어 두피 건강 루틴</t>
  </si>
  <si>
    <t xml:space="preserve">두피 건강</t>
  </si>
  <si>
    <r>
      <rPr>
        <sz val="10"/>
        <rFont val="DejaVu Sans"/>
        <family val="2"/>
      </rPr>
      <t xml:space="preserve">탈모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두피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케어</t>
    </r>
  </si>
  <si>
    <t xml:space="preserve">네일케어 손 피부 관리 팁</t>
  </si>
  <si>
    <t xml:space="preserve">네일케어</t>
  </si>
  <si>
    <r>
      <rPr>
        <sz val="10"/>
        <rFont val="DejaVu Sans"/>
        <family val="2"/>
      </rPr>
      <t xml:space="preserve">손 관리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큐티클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네일</t>
    </r>
  </si>
  <si>
    <t xml:space="preserve">motivation</t>
  </si>
  <si>
    <r>
      <rPr>
        <b val="true"/>
        <sz val="10"/>
        <color rgb="FFE8631A"/>
        <rFont val="DejaVu Sans"/>
        <family val="2"/>
      </rPr>
      <t xml:space="preserve">동기부여</t>
    </r>
    <r>
      <rPr>
        <b val="true"/>
        <sz val="10"/>
        <color rgb="FFE8631A"/>
        <rFont val="맑은 고딕"/>
        <family val="0"/>
        <charset val="1"/>
      </rPr>
      <t xml:space="preserve">·</t>
    </r>
    <r>
      <rPr>
        <b val="true"/>
        <sz val="10"/>
        <color rgb="FFE8631A"/>
        <rFont val="DejaVu Sans"/>
        <family val="2"/>
      </rPr>
      <t xml:space="preserve">습관</t>
    </r>
  </si>
  <si>
    <r>
      <rPr>
        <sz val="10"/>
        <rFont val="DejaVu Sans"/>
        <family val="2"/>
      </rPr>
      <t xml:space="preserve">바디프로필 준비 </t>
    </r>
    <r>
      <rPr>
        <sz val="10"/>
        <rFont val="맑은 고딕"/>
        <family val="0"/>
        <charset val="1"/>
      </rPr>
      <t xml:space="preserve">16</t>
    </r>
    <r>
      <rPr>
        <sz val="10"/>
        <rFont val="DejaVu Sans"/>
        <family val="2"/>
      </rPr>
      <t xml:space="preserve">주 로드맵</t>
    </r>
  </si>
  <si>
    <t xml:space="preserve">바디프로필 준비</t>
  </si>
  <si>
    <r>
      <rPr>
        <sz val="10"/>
        <rFont val="DejaVu Sans"/>
        <family val="2"/>
      </rPr>
      <t xml:space="preserve">바디프로필</t>
    </r>
    <r>
      <rPr>
        <sz val="10"/>
        <rFont val="맑은 고딕"/>
        <family val="0"/>
        <charset val="1"/>
      </rPr>
      <t xml:space="preserve">,16</t>
    </r>
    <r>
      <rPr>
        <sz val="10"/>
        <rFont val="DejaVu Sans"/>
        <family val="2"/>
      </rPr>
      <t xml:space="preserve">주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감량</t>
    </r>
  </si>
  <si>
    <r>
      <rPr>
        <sz val="10"/>
        <rFont val="DejaVu Sans"/>
        <family val="2"/>
      </rPr>
      <t xml:space="preserve">운동 습관 </t>
    </r>
    <r>
      <rPr>
        <sz val="10"/>
        <rFont val="맑은 고딕"/>
        <family val="0"/>
        <charset val="1"/>
      </rPr>
      <t xml:space="preserve">21</t>
    </r>
    <r>
      <rPr>
        <sz val="10"/>
        <rFont val="DejaVu Sans"/>
        <family val="2"/>
      </rPr>
      <t xml:space="preserve">일 만에 만드는 법</t>
    </r>
  </si>
  <si>
    <t xml:space="preserve">운동 습관</t>
  </si>
  <si>
    <r>
      <rPr>
        <sz val="10"/>
        <rFont val="DejaVu Sans"/>
        <family val="2"/>
      </rPr>
      <t xml:space="preserve">습관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루틴</t>
    </r>
    <r>
      <rPr>
        <sz val="10"/>
        <rFont val="맑은 고딕"/>
        <family val="0"/>
        <charset val="1"/>
      </rPr>
      <t xml:space="preserve">,21</t>
    </r>
    <r>
      <rPr>
        <sz val="10"/>
        <rFont val="DejaVu Sans"/>
        <family val="2"/>
      </rPr>
      <t xml:space="preserve">일</t>
    </r>
  </si>
  <si>
    <t xml:space="preserve">동기부여 떨어질 때 돌아오는 전략</t>
  </si>
  <si>
    <t xml:space="preserve">운동 동기부여</t>
  </si>
  <si>
    <r>
      <rPr>
        <sz val="10"/>
        <rFont val="DejaVu Sans"/>
        <family val="2"/>
      </rPr>
      <t xml:space="preserve">동기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번아웃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재시작</t>
    </r>
  </si>
  <si>
    <t xml:space="preserve">운동 기록 앱 추천과 활용</t>
  </si>
  <si>
    <t xml:space="preserve">운동 기록 앱</t>
  </si>
  <si>
    <r>
      <rPr>
        <sz val="10"/>
        <rFont val="DejaVu Sans"/>
        <family val="2"/>
      </rPr>
      <t xml:space="preserve">피트니스 앱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기록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추천</t>
    </r>
  </si>
  <si>
    <t xml:space="preserve">작심삼일 극복 심리학적 방법</t>
  </si>
  <si>
    <t xml:space="preserve">작심삼일 극복</t>
  </si>
  <si>
    <r>
      <rPr>
        <sz val="10"/>
        <rFont val="DejaVu Sans"/>
        <family val="2"/>
      </rPr>
      <t xml:space="preserve">의지력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습관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심리</t>
    </r>
  </si>
  <si>
    <t xml:space="preserve">주제수</t>
  </si>
  <si>
    <t xml:space="preserve">평균월검색량</t>
  </si>
  <si>
    <t xml:space="preserve">평균난이도</t>
  </si>
  <si>
    <r>
      <rPr>
        <b val="true"/>
        <sz val="11"/>
        <color rgb="FFFFFFFF"/>
        <rFont val="DejaVu Sans"/>
        <family val="2"/>
      </rPr>
      <t xml:space="preserve">평균</t>
    </r>
    <r>
      <rPr>
        <b val="true"/>
        <sz val="11"/>
        <color rgb="FFFFFFFF"/>
        <rFont val="맑은 고딕"/>
        <family val="0"/>
        <charset val="1"/>
      </rPr>
      <t xml:space="preserve">CPC</t>
    </r>
    <r>
      <rPr>
        <b val="true"/>
        <sz val="11"/>
        <color rgb="FFFFFFFF"/>
        <rFont val="DejaVu Sans"/>
        <family val="2"/>
      </rPr>
      <t xml:space="preserve">원</t>
    </r>
  </si>
  <si>
    <r>
      <rPr>
        <b val="true"/>
        <sz val="11"/>
        <color rgb="FFFFFFFF"/>
        <rFont val="맑은 고딕"/>
        <family val="0"/>
        <charset val="1"/>
      </rPr>
      <t xml:space="preserve">P0 </t>
    </r>
    <r>
      <rPr>
        <b val="true"/>
        <sz val="11"/>
        <color rgb="FFFFFFFF"/>
        <rFont val="DejaVu Sans"/>
        <family val="2"/>
      </rPr>
      <t xml:space="preserve">수</t>
    </r>
  </si>
  <si>
    <r>
      <rPr>
        <b val="true"/>
        <sz val="11"/>
        <color rgb="FFFFFFFF"/>
        <rFont val="맑은 고딕"/>
        <family val="0"/>
        <charset val="1"/>
      </rPr>
      <t xml:space="preserve">P1 </t>
    </r>
    <r>
      <rPr>
        <b val="true"/>
        <sz val="11"/>
        <color rgb="FFFFFFFF"/>
        <rFont val="DejaVu Sans"/>
        <family val="2"/>
      </rPr>
      <t xml:space="preserve">수</t>
    </r>
  </si>
  <si>
    <r>
      <rPr>
        <b val="true"/>
        <sz val="11"/>
        <color rgb="FFFFFFFF"/>
        <rFont val="맑은 고딕"/>
        <family val="0"/>
        <charset val="1"/>
      </rPr>
      <t xml:space="preserve">P2 </t>
    </r>
    <r>
      <rPr>
        <b val="true"/>
        <sz val="11"/>
        <color rgb="FFFFFFFF"/>
        <rFont val="DejaVu Sans"/>
        <family val="2"/>
      </rPr>
      <t xml:space="preserve">수</t>
    </r>
  </si>
  <si>
    <t xml:space="preserve">합계</t>
  </si>
  <si>
    <t xml:space="preserve">월</t>
  </si>
  <si>
    <t xml:space="preserve">총 발행수</t>
  </si>
  <si>
    <r>
      <rPr>
        <b val="true"/>
        <sz val="11"/>
        <color rgb="FFFFFFFF"/>
        <rFont val="DejaVu Sans"/>
        <family val="2"/>
      </rPr>
      <t xml:space="preserve">유산소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러닝</t>
    </r>
  </si>
  <si>
    <r>
      <rPr>
        <b val="true"/>
        <sz val="11"/>
        <color rgb="FFFFFFFF"/>
        <rFont val="DejaVu Sans"/>
        <family val="2"/>
      </rPr>
      <t xml:space="preserve">식단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영양</t>
    </r>
  </si>
  <si>
    <r>
      <rPr>
        <b val="true"/>
        <sz val="11"/>
        <color rgb="FFFFFFFF"/>
        <rFont val="DejaVu Sans"/>
        <family val="2"/>
      </rPr>
      <t xml:space="preserve">건강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웰빙</t>
    </r>
  </si>
  <si>
    <r>
      <rPr>
        <b val="true"/>
        <sz val="11"/>
        <color rgb="FFFFFFFF"/>
        <rFont val="DejaVu Sans"/>
        <family val="2"/>
      </rPr>
      <t xml:space="preserve">보충제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영양제</t>
    </r>
  </si>
  <si>
    <r>
      <rPr>
        <b val="true"/>
        <sz val="11"/>
        <color rgb="FFFFFFFF"/>
        <rFont val="DejaVu Sans"/>
        <family val="2"/>
      </rPr>
      <t xml:space="preserve">뷰티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메이크업</t>
    </r>
  </si>
  <si>
    <r>
      <rPr>
        <b val="true"/>
        <sz val="11"/>
        <color rgb="FFFFFFFF"/>
        <rFont val="DejaVu Sans"/>
        <family val="2"/>
      </rPr>
      <t xml:space="preserve">동기부여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습관</t>
    </r>
  </si>
  <si>
    <t xml:space="preserve">2026-05</t>
  </si>
  <si>
    <t xml:space="preserve">2026-06</t>
  </si>
  <si>
    <r>
      <rPr>
        <b val="true"/>
        <sz val="16"/>
        <color rgb="FF2D1A0E"/>
        <rFont val="DejaVu Sans"/>
        <family val="2"/>
      </rPr>
      <t xml:space="preserve">주제 </t>
    </r>
    <r>
      <rPr>
        <b val="true"/>
        <sz val="16"/>
        <color rgb="FF2D1A0E"/>
        <rFont val="맑은 고딕"/>
        <family val="0"/>
        <charset val="1"/>
      </rPr>
      <t xml:space="preserve">100</t>
    </r>
    <r>
      <rPr>
        <b val="true"/>
        <sz val="16"/>
        <color rgb="FF2D1A0E"/>
        <rFont val="DejaVu Sans"/>
        <family val="2"/>
      </rPr>
      <t xml:space="preserve">선 </t>
    </r>
    <r>
      <rPr>
        <b val="true"/>
        <sz val="16"/>
        <color rgb="FF2D1A0E"/>
        <rFont val="맑은 고딕"/>
        <family val="0"/>
        <charset val="1"/>
      </rPr>
      <t xml:space="preserve">· </t>
    </r>
    <r>
      <rPr>
        <b val="true"/>
        <sz val="16"/>
        <color rgb="FF2D1A0E"/>
        <rFont val="DejaVu Sans"/>
        <family val="2"/>
      </rPr>
      <t xml:space="preserve">에디토리얼 캘린더 사용 가이드</t>
    </r>
  </si>
  <si>
    <r>
      <rPr>
        <sz val="11"/>
        <color rgb="FF2D1A0E"/>
        <rFont val="맑은 고딕"/>
        <family val="0"/>
        <charset val="1"/>
      </rPr>
      <t xml:space="preserve">1. </t>
    </r>
    <r>
      <rPr>
        <sz val="11"/>
        <color rgb="FF2D1A0E"/>
        <rFont val="DejaVu Sans"/>
        <family val="2"/>
      </rPr>
      <t xml:space="preserve">이 파일은 </t>
    </r>
    <r>
      <rPr>
        <sz val="11"/>
        <color rgb="FF2D1A0E"/>
        <rFont val="맑은 고딕"/>
        <family val="0"/>
        <charset val="1"/>
      </rPr>
      <t xml:space="preserve">CLAUDE_CODE_PROMPTS/07_</t>
    </r>
    <r>
      <rPr>
        <sz val="11"/>
        <color rgb="FF2D1A0E"/>
        <rFont val="DejaVu Sans"/>
        <family val="2"/>
      </rPr>
      <t xml:space="preserve">카테고리확장 프롬프트의 </t>
    </r>
    <r>
      <rPr>
        <sz val="11"/>
        <color rgb="FF2D1A0E"/>
        <rFont val="맑은 고딕"/>
        <family val="0"/>
        <charset val="1"/>
      </rPr>
      <t xml:space="preserve">scripts/import-topics.js </t>
    </r>
    <r>
      <rPr>
        <sz val="11"/>
        <color rgb="FF2D1A0E"/>
        <rFont val="DejaVu Sans"/>
        <family val="2"/>
      </rPr>
      <t xml:space="preserve">에서 읽어 </t>
    </r>
    <r>
      <rPr>
        <sz val="11"/>
        <color rgb="FF2D1A0E"/>
        <rFont val="맑은 고딕"/>
        <family val="0"/>
        <charset val="1"/>
      </rPr>
      <t xml:space="preserve">TopicQueue </t>
    </r>
    <r>
      <rPr>
        <sz val="11"/>
        <color rgb="FF2D1A0E"/>
        <rFont val="DejaVu Sans"/>
        <family val="2"/>
      </rPr>
      <t xml:space="preserve">테이블로 적재됩니다</t>
    </r>
    <r>
      <rPr>
        <sz val="11"/>
        <color rgb="FF2D1A0E"/>
        <rFont val="맑은 고딕"/>
        <family val="0"/>
        <charset val="1"/>
      </rPr>
      <t xml:space="preserve">.</t>
    </r>
  </si>
  <si>
    <r>
      <rPr>
        <sz val="11"/>
        <color rgb="FF2D1A0E"/>
        <rFont val="맑은 고딕"/>
        <family val="0"/>
        <charset val="1"/>
      </rPr>
      <t xml:space="preserve">2. [</t>
    </r>
    <r>
      <rPr>
        <sz val="11"/>
        <color rgb="FF2D1A0E"/>
        <rFont val="DejaVu Sans"/>
        <family val="2"/>
      </rPr>
      <t xml:space="preserve">주제</t>
    </r>
    <r>
      <rPr>
        <sz val="11"/>
        <color rgb="FF2D1A0E"/>
        <rFont val="맑은 고딕"/>
        <family val="0"/>
        <charset val="1"/>
      </rPr>
      <t xml:space="preserve">100</t>
    </r>
    <r>
      <rPr>
        <sz val="11"/>
        <color rgb="FF2D1A0E"/>
        <rFont val="DejaVu Sans"/>
        <family val="2"/>
      </rPr>
      <t xml:space="preserve">선</t>
    </r>
    <r>
      <rPr>
        <sz val="11"/>
        <color rgb="FF2D1A0E"/>
        <rFont val="맑은 고딕"/>
        <family val="0"/>
        <charset val="1"/>
      </rPr>
      <t xml:space="preserve">] </t>
    </r>
    <r>
      <rPr>
        <sz val="11"/>
        <color rgb="FF2D1A0E"/>
        <rFont val="DejaVu Sans"/>
        <family val="2"/>
      </rPr>
      <t xml:space="preserve">시트의 컬럼 순서</t>
    </r>
    <r>
      <rPr>
        <sz val="11"/>
        <color rgb="FF2D1A0E"/>
        <rFont val="맑은 고딕"/>
        <family val="0"/>
        <charset val="1"/>
      </rPr>
      <t xml:space="preserve">·</t>
    </r>
    <r>
      <rPr>
        <sz val="11"/>
        <color rgb="FF2D1A0E"/>
        <rFont val="DejaVu Sans"/>
        <family val="2"/>
      </rPr>
      <t xml:space="preserve">헤더명을 변경하지 마세요 </t>
    </r>
    <r>
      <rPr>
        <sz val="11"/>
        <color rgb="FF2D1A0E"/>
        <rFont val="맑은 고딕"/>
        <family val="0"/>
        <charset val="1"/>
      </rPr>
      <t xml:space="preserve">(import </t>
    </r>
    <r>
      <rPr>
        <sz val="11"/>
        <color rgb="FF2D1A0E"/>
        <rFont val="DejaVu Sans"/>
        <family val="2"/>
      </rPr>
      <t xml:space="preserve">스크립트와 결합</t>
    </r>
    <r>
      <rPr>
        <sz val="11"/>
        <color rgb="FF2D1A0E"/>
        <rFont val="맑은 고딕"/>
        <family val="0"/>
        <charset val="1"/>
      </rPr>
      <t xml:space="preserve">).</t>
    </r>
  </si>
  <si>
    <r>
      <rPr>
        <sz val="11"/>
        <color rgb="FF2D1A0E"/>
        <rFont val="맑은 고딕"/>
        <family val="0"/>
        <charset val="1"/>
      </rPr>
      <t xml:space="preserve">3. </t>
    </r>
    <r>
      <rPr>
        <sz val="11"/>
        <color rgb="FF2D1A0E"/>
        <rFont val="DejaVu Sans"/>
        <family val="2"/>
      </rPr>
      <t xml:space="preserve">우선순위 </t>
    </r>
    <r>
      <rPr>
        <sz val="11"/>
        <color rgb="FF2D1A0E"/>
        <rFont val="맑은 고딕"/>
        <family val="0"/>
        <charset val="1"/>
      </rPr>
      <t xml:space="preserve">P0 = </t>
    </r>
    <r>
      <rPr>
        <sz val="11"/>
        <color rgb="FF2D1A0E"/>
        <rFont val="DejaVu Sans"/>
        <family val="2"/>
      </rPr>
      <t xml:space="preserve">첫 </t>
    </r>
    <r>
      <rPr>
        <sz val="11"/>
        <color rgb="FF2D1A0E"/>
        <rFont val="맑은 고딕"/>
        <family val="0"/>
        <charset val="1"/>
      </rPr>
      <t xml:space="preserve">30</t>
    </r>
    <r>
      <rPr>
        <sz val="11"/>
        <color rgb="FF2D1A0E"/>
        <rFont val="DejaVu Sans"/>
        <family val="2"/>
      </rPr>
      <t xml:space="preserve">일 발행 대상</t>
    </r>
    <r>
      <rPr>
        <sz val="11"/>
        <color rgb="FF2D1A0E"/>
        <rFont val="맑은 고딕"/>
        <family val="0"/>
        <charset val="1"/>
      </rPr>
      <t xml:space="preserve">, P1 = 31~60</t>
    </r>
    <r>
      <rPr>
        <sz val="11"/>
        <color rgb="FF2D1A0E"/>
        <rFont val="DejaVu Sans"/>
        <family val="2"/>
      </rPr>
      <t xml:space="preserve">일</t>
    </r>
    <r>
      <rPr>
        <sz val="11"/>
        <color rgb="FF2D1A0E"/>
        <rFont val="맑은 고딕"/>
        <family val="0"/>
        <charset val="1"/>
      </rPr>
      <t xml:space="preserve">, P2 = 61</t>
    </r>
    <r>
      <rPr>
        <sz val="11"/>
        <color rgb="FF2D1A0E"/>
        <rFont val="DejaVu Sans"/>
        <family val="2"/>
      </rPr>
      <t xml:space="preserve">일 이후</t>
    </r>
    <r>
      <rPr>
        <sz val="11"/>
        <color rgb="FF2D1A0E"/>
        <rFont val="맑은 고딕"/>
        <family val="0"/>
        <charset val="1"/>
      </rPr>
      <t xml:space="preserve">.</t>
    </r>
  </si>
  <si>
    <r>
      <rPr>
        <sz val="11"/>
        <color rgb="FF2D1A0E"/>
        <rFont val="맑은 고딕"/>
        <family val="0"/>
        <charset val="1"/>
      </rPr>
      <t xml:space="preserve">4. </t>
    </r>
    <r>
      <rPr>
        <sz val="11"/>
        <color rgb="FF2D1A0E"/>
        <rFont val="DejaVu Sans"/>
        <family val="2"/>
      </rPr>
      <t xml:space="preserve">담당저자 값</t>
    </r>
    <r>
      <rPr>
        <sz val="11"/>
        <color rgb="FF2D1A0E"/>
        <rFont val="맑은 고딕"/>
        <family val="0"/>
        <charset val="1"/>
      </rPr>
      <t xml:space="preserve">(kim-yunsu / park-jiwon / lee-soyoung)</t>
    </r>
    <r>
      <rPr>
        <sz val="11"/>
        <color rgb="FF2D1A0E"/>
        <rFont val="DejaVu Sans"/>
        <family val="2"/>
      </rPr>
      <t xml:space="preserve">은 </t>
    </r>
    <r>
      <rPr>
        <sz val="11"/>
        <color rgb="FF2D1A0E"/>
        <rFont val="맑은 고딕"/>
        <family val="0"/>
        <charset val="1"/>
      </rPr>
      <t xml:space="preserve">Prisma Author.slug </t>
    </r>
    <r>
      <rPr>
        <sz val="11"/>
        <color rgb="FF2D1A0E"/>
        <rFont val="DejaVu Sans"/>
        <family val="2"/>
      </rPr>
      <t xml:space="preserve">와 일치해야 합니다</t>
    </r>
    <r>
      <rPr>
        <sz val="11"/>
        <color rgb="FF2D1A0E"/>
        <rFont val="맑은 고딕"/>
        <family val="0"/>
        <charset val="1"/>
      </rPr>
      <t xml:space="preserve">.</t>
    </r>
  </si>
  <si>
    <r>
      <rPr>
        <sz val="11"/>
        <color rgb="FF2D1A0E"/>
        <rFont val="맑은 고딕"/>
        <family val="0"/>
        <charset val="1"/>
      </rPr>
      <t xml:space="preserve">5. </t>
    </r>
    <r>
      <rPr>
        <sz val="11"/>
        <color rgb="FF2D1A0E"/>
        <rFont val="DejaVu Sans"/>
        <family val="2"/>
      </rPr>
      <t xml:space="preserve">예상발행일은 하루 </t>
    </r>
    <r>
      <rPr>
        <sz val="11"/>
        <color rgb="FF2D1A0E"/>
        <rFont val="맑은 고딕"/>
        <family val="0"/>
        <charset val="1"/>
      </rPr>
      <t xml:space="preserve">2</t>
    </r>
    <r>
      <rPr>
        <sz val="11"/>
        <color rgb="FF2D1A0E"/>
        <rFont val="DejaVu Sans"/>
        <family val="2"/>
      </rPr>
      <t xml:space="preserve">건 발행 기준으로 자동 배치되었습니다 </t>
    </r>
    <r>
      <rPr>
        <sz val="11"/>
        <color rgb="FF2D1A0E"/>
        <rFont val="맑은 고딕"/>
        <family val="0"/>
        <charset val="1"/>
      </rPr>
      <t xml:space="preserve">(2026-05-01 </t>
    </r>
    <r>
      <rPr>
        <sz val="11"/>
        <color rgb="FF2D1A0E"/>
        <rFont val="DejaVu Sans"/>
        <family val="2"/>
      </rPr>
      <t xml:space="preserve">시작</t>
    </r>
    <r>
      <rPr>
        <sz val="11"/>
        <color rgb="FF2D1A0E"/>
        <rFont val="맑은 고딕"/>
        <family val="0"/>
        <charset val="1"/>
      </rPr>
      <t xml:space="preserve">).</t>
    </r>
  </si>
  <si>
    <r>
      <rPr>
        <sz val="11"/>
        <color rgb="FF2D1A0E"/>
        <rFont val="맑은 고딕"/>
        <family val="0"/>
        <charset val="1"/>
      </rPr>
      <t xml:space="preserve">6. </t>
    </r>
    <r>
      <rPr>
        <sz val="11"/>
        <color rgb="FF2D1A0E"/>
        <rFont val="DejaVu Sans"/>
        <family val="2"/>
      </rPr>
      <t xml:space="preserve">주제를 추가하려면 새 행 삽입 → 번호</t>
    </r>
    <r>
      <rPr>
        <sz val="11"/>
        <color rgb="FF2D1A0E"/>
        <rFont val="맑은 고딕"/>
        <family val="0"/>
        <charset val="1"/>
      </rPr>
      <t xml:space="preserve">/</t>
    </r>
    <r>
      <rPr>
        <sz val="11"/>
        <color rgb="FF2D1A0E"/>
        <rFont val="DejaVu Sans"/>
        <family val="2"/>
      </rPr>
      <t xml:space="preserve">카테고리</t>
    </r>
    <r>
      <rPr>
        <sz val="11"/>
        <color rgb="FF2D1A0E"/>
        <rFont val="맑은 고딕"/>
        <family val="0"/>
        <charset val="1"/>
      </rPr>
      <t xml:space="preserve">ID/</t>
    </r>
    <r>
      <rPr>
        <sz val="11"/>
        <color rgb="FF2D1A0E"/>
        <rFont val="DejaVu Sans"/>
        <family val="2"/>
      </rPr>
      <t xml:space="preserve">담당저자</t>
    </r>
    <r>
      <rPr>
        <sz val="11"/>
        <color rgb="FF2D1A0E"/>
        <rFont val="맑은 고딕"/>
        <family val="0"/>
        <charset val="1"/>
      </rPr>
      <t xml:space="preserve">/</t>
    </r>
    <r>
      <rPr>
        <sz val="11"/>
        <color rgb="FF2D1A0E"/>
        <rFont val="DejaVu Sans"/>
        <family val="2"/>
      </rPr>
      <t xml:space="preserve">예상발행일만 맞추면 자동화 파이프라인이 처리합니다</t>
    </r>
    <r>
      <rPr>
        <sz val="11"/>
        <color rgb="FF2D1A0E"/>
        <rFont val="맑은 고딕"/>
        <family val="0"/>
        <charset val="1"/>
      </rPr>
      <t xml:space="preserve">.</t>
    </r>
  </si>
  <si>
    <r>
      <rPr>
        <sz val="11"/>
        <color rgb="FF2D1A0E"/>
        <rFont val="맑은 고딕"/>
        <family val="0"/>
        <charset val="1"/>
      </rPr>
      <t xml:space="preserve">7. </t>
    </r>
    <r>
      <rPr>
        <sz val="11"/>
        <color rgb="FF2D1A0E"/>
        <rFont val="DejaVu Sans"/>
        <family val="2"/>
      </rPr>
      <t xml:space="preserve">카테고리</t>
    </r>
    <r>
      <rPr>
        <sz val="11"/>
        <color rgb="FF2D1A0E"/>
        <rFont val="맑은 고딕"/>
        <family val="0"/>
        <charset val="1"/>
      </rPr>
      <t xml:space="preserve">_</t>
    </r>
    <r>
      <rPr>
        <sz val="11"/>
        <color rgb="FF2D1A0E"/>
        <rFont val="DejaVu Sans"/>
        <family val="2"/>
      </rPr>
      <t xml:space="preserve">요약</t>
    </r>
    <r>
      <rPr>
        <sz val="11"/>
        <color rgb="FF2D1A0E"/>
        <rFont val="맑은 고딕"/>
        <family val="0"/>
        <charset val="1"/>
      </rPr>
      <t xml:space="preserve">, </t>
    </r>
    <r>
      <rPr>
        <sz val="11"/>
        <color rgb="FF2D1A0E"/>
        <rFont val="DejaVu Sans"/>
        <family val="2"/>
      </rPr>
      <t xml:space="preserve">월별</t>
    </r>
    <r>
      <rPr>
        <sz val="11"/>
        <color rgb="FF2D1A0E"/>
        <rFont val="맑은 고딕"/>
        <family val="0"/>
        <charset val="1"/>
      </rPr>
      <t xml:space="preserve">_</t>
    </r>
    <r>
      <rPr>
        <sz val="11"/>
        <color rgb="FF2D1A0E"/>
        <rFont val="DejaVu Sans"/>
        <family val="2"/>
      </rPr>
      <t xml:space="preserve">발행계획 시트는 </t>
    </r>
    <r>
      <rPr>
        <sz val="11"/>
        <color rgb="FF2D1A0E"/>
        <rFont val="맑은 고딕"/>
        <family val="0"/>
        <charset val="1"/>
      </rPr>
      <t xml:space="preserve">COUNTIF/AVERAGEIF </t>
    </r>
    <r>
      <rPr>
        <sz val="11"/>
        <color rgb="FF2D1A0E"/>
        <rFont val="DejaVu Sans"/>
        <family val="2"/>
      </rPr>
      <t xml:space="preserve">수식 기반이므로 주제 추가 시 자동 반영됩니다</t>
    </r>
    <r>
      <rPr>
        <sz val="11"/>
        <color rgb="FF2D1A0E"/>
        <rFont val="맑은 고딕"/>
        <family val="0"/>
        <charset val="1"/>
      </rPr>
      <t xml:space="preserve">.</t>
    </r>
  </si>
  <si>
    <r>
      <rPr>
        <sz val="11"/>
        <color rgb="FF2D1A0E"/>
        <rFont val="DejaVu Sans"/>
        <family val="2"/>
      </rPr>
      <t xml:space="preserve">작성일</t>
    </r>
    <r>
      <rPr>
        <sz val="11"/>
        <color rgb="FF2D1A0E"/>
        <rFont val="맑은 고딕"/>
        <family val="0"/>
        <charset val="1"/>
      </rPr>
      <t xml:space="preserve">: 2026-04-23  ·  </t>
    </r>
    <r>
      <rPr>
        <sz val="11"/>
        <color rgb="FF2D1A0E"/>
        <rFont val="DejaVu Sans"/>
        <family val="2"/>
      </rPr>
      <t xml:space="preserve">기획 프로젝트</t>
    </r>
    <r>
      <rPr>
        <sz val="11"/>
        <color rgb="FF2D1A0E"/>
        <rFont val="맑은 고딕"/>
        <family val="0"/>
        <charset val="1"/>
      </rPr>
      <t xml:space="preserve">: HELIX Journal (</t>
    </r>
    <r>
      <rPr>
        <sz val="11"/>
        <color rgb="FF2D1A0E"/>
        <rFont val="DejaVu Sans"/>
        <family val="2"/>
      </rPr>
      <t xml:space="preserve">다이어트</t>
    </r>
    <r>
      <rPr>
        <sz val="11"/>
        <color rgb="FF2D1A0E"/>
        <rFont val="맑은 고딕"/>
        <family val="0"/>
        <charset val="1"/>
      </rPr>
      <t xml:space="preserve">·</t>
    </r>
    <r>
      <rPr>
        <sz val="11"/>
        <color rgb="FF2D1A0E"/>
        <rFont val="DejaVu Sans"/>
        <family val="2"/>
      </rPr>
      <t xml:space="preserve">건강</t>
    </r>
    <r>
      <rPr>
        <sz val="11"/>
        <color rgb="FF2D1A0E"/>
        <rFont val="맑은 고딕"/>
        <family val="0"/>
        <charset val="1"/>
      </rPr>
      <t xml:space="preserve">·</t>
    </r>
    <r>
      <rPr>
        <sz val="11"/>
        <color rgb="FF2D1A0E"/>
        <rFont val="DejaVu Sans"/>
        <family val="2"/>
      </rPr>
      <t xml:space="preserve">피부미용 백과</t>
    </r>
    <r>
      <rPr>
        <sz val="11"/>
        <color rgb="FF2D1A0E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</si>
</sst>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yyyy\-mm\-dd"/>
    <numFmt numFmtId="167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  <font>
      <b val="true"/>
      <sz val="10"/>
      <color rgb="FFE8631A"/>
      <name val="DejaVu Sans"/>
      <family val="2"/>
    </font>
    <font>
      <sz val="10"/>
      <name val="DejaVu Sans"/>
      <family val="2"/>
    </font>
    <font>
      <b val="true"/>
      <sz val="10"/>
      <color rgb="FFB91C1C"/>
      <name val="맑은 고딕"/>
      <family val="0"/>
      <charset val="1"/>
    </font>
    <font>
      <b val="true"/>
      <sz val="10"/>
      <color rgb="FFA16207"/>
      <name val="맑은 고딕"/>
      <family val="0"/>
      <charset val="1"/>
    </font>
    <font>
      <sz val="10"/>
      <color rgb="FF15803D"/>
      <name val="맑은 고딕"/>
      <family val="0"/>
      <charset val="1"/>
    </font>
    <font>
      <b val="true"/>
      <sz val="10"/>
      <color rgb="FFE8631A"/>
      <name val="맑은 고딕"/>
      <family val="0"/>
      <charset val="1"/>
    </font>
    <font>
      <b val="true"/>
      <sz val="10"/>
      <color rgb="FF6B9D7A"/>
      <name val="DejaVu Sans"/>
      <family val="2"/>
    </font>
    <font>
      <b val="true"/>
      <sz val="10"/>
      <color rgb="FF6B9D7A"/>
      <name val="맑은 고딕"/>
      <family val="0"/>
      <charset val="1"/>
    </font>
    <font>
      <b val="true"/>
      <sz val="10"/>
      <color rgb="FFD96A8E"/>
      <name val="DejaVu Sans"/>
      <family val="2"/>
    </font>
    <font>
      <b val="true"/>
      <sz val="10"/>
      <color rgb="FFD96A8E"/>
      <name val="맑은 고딕"/>
      <family val="0"/>
      <charset val="1"/>
    </font>
    <font>
      <b val="true"/>
      <sz val="11"/>
      <name val="DejaVu Sans"/>
      <family val="2"/>
    </font>
    <font>
      <b val="true"/>
      <sz val="11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6"/>
      <color rgb="FF2D1A0E"/>
      <name val="DejaVu Sans"/>
      <family val="2"/>
    </font>
    <font>
      <b val="true"/>
      <sz val="16"/>
      <color rgb="FF2D1A0E"/>
      <name val="맑은 고딕"/>
      <family val="0"/>
      <charset val="1"/>
    </font>
    <font>
      <sz val="11"/>
      <color rgb="FF2D1A0E"/>
      <name val="맑은 고딕"/>
      <family val="0"/>
      <charset val="1"/>
    </font>
    <font>
      <sz val="11"/>
      <color rgb="FF2D1A0E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2D1A0E"/>
        <bgColor rgb="FF333333"/>
      </patternFill>
    </fill>
    <fill>
      <patternFill patternType="solid">
        <fgColor rgb="FFFFEEDD"/>
        <bgColor rgb="FFFFF0CC"/>
      </patternFill>
    </fill>
    <fill>
      <patternFill patternType="solid">
        <fgColor rgb="FFFFD4D4"/>
        <bgColor rgb="FFFBE4EB"/>
      </patternFill>
    </fill>
    <fill>
      <patternFill patternType="solid">
        <fgColor rgb="FFFFF0CC"/>
        <bgColor rgb="FFFFEEDD"/>
      </patternFill>
    </fill>
    <fill>
      <patternFill patternType="solid">
        <fgColor rgb="FFE6F0E8"/>
        <bgColor rgb="FFFAF7F3"/>
      </patternFill>
    </fill>
    <fill>
      <patternFill patternType="solid">
        <fgColor rgb="FFFBE4EB"/>
        <bgColor rgb="FFFFEEDD"/>
      </patternFill>
    </fill>
    <fill>
      <patternFill patternType="solid">
        <fgColor rgb="FFFAF7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DFD3"/>
      </left>
      <right style="thin">
        <color rgb="FFE8DFD3"/>
      </right>
      <top style="thin">
        <color rgb="FFE8DFD3"/>
      </top>
      <bottom style="thin">
        <color rgb="FFE8DF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D1A0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0E8"/>
          <bgColor rgb="FF000000"/>
        </patternFill>
      </fill>
    </dxf>
    <dxf>
      <fill>
        <patternFill patternType="solid">
          <fgColor rgb="FFFBE4EB"/>
          <bgColor rgb="FF000000"/>
        </patternFill>
      </fill>
    </dxf>
    <dxf>
      <fill>
        <patternFill patternType="solid">
          <fgColor rgb="FFFFEEDD"/>
          <bgColor rgb="FF000000"/>
        </patternFill>
      </fill>
    </dxf>
    <dxf>
      <fill>
        <patternFill patternType="solid">
          <fgColor rgb="FF6B9D7A"/>
          <bgColor rgb="FF000000"/>
        </patternFill>
      </fill>
    </dxf>
    <dxf>
      <fill>
        <patternFill patternType="solid">
          <fgColor rgb="FFD96A8E"/>
          <bgColor rgb="FF000000"/>
        </patternFill>
      </fill>
    </dxf>
    <dxf>
      <fill>
        <patternFill patternType="solid">
          <fgColor rgb="FFE8631A"/>
          <bgColor rgb="FF000000"/>
        </patternFill>
      </fill>
    </dxf>
    <dxf>
      <fill>
        <patternFill patternType="solid">
          <fgColor rgb="FFFFD4D4"/>
          <bgColor rgb="FF000000"/>
        </patternFill>
      </fill>
    </dxf>
    <dxf>
      <fill>
        <patternFill patternType="solid">
          <fgColor rgb="FFFFF0CC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A16207"/>
          <bgColor rgb="FF000000"/>
        </patternFill>
      </fill>
    </dxf>
    <dxf>
      <fill>
        <patternFill patternType="solid">
          <fgColor rgb="FFB9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A16207"/>
      <rgbColor rgb="FF800080"/>
      <rgbColor rgb="FF008080"/>
      <rgbColor rgb="FFC0C0C0"/>
      <rgbColor rgb="FF6B9D7A"/>
      <rgbColor rgb="FF9999FF"/>
      <rgbColor rgb="FF993366"/>
      <rgbColor rgb="FFFFF0CC"/>
      <rgbColor rgb="FFE6F0E8"/>
      <rgbColor rgb="FF660066"/>
      <rgbColor rgb="FFD96A8E"/>
      <rgbColor rgb="FF0066CC"/>
      <rgbColor rgb="FFE8DF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7F3"/>
      <rgbColor rgb="FFFBE4EB"/>
      <rgbColor rgb="FFFFEEDD"/>
      <rgbColor rgb="FF99CCFF"/>
      <rgbColor rgb="FFFF99CC"/>
      <rgbColor rgb="FFCC99FF"/>
      <rgbColor rgb="FFFFD4D4"/>
      <rgbColor rgb="FF3366FF"/>
      <rgbColor rgb="FF33CCCC"/>
      <rgbColor rgb="FF99CC00"/>
      <rgbColor rgb="FFFFCC00"/>
      <rgbColor rgb="FFFF9900"/>
      <rgbColor rgb="FFE8631A"/>
      <rgbColor rgb="FF666699"/>
      <rgbColor rgb="FF969696"/>
      <rgbColor rgb="FF003366"/>
      <rgbColor rgb="FF339966"/>
      <rgbColor rgb="FF003300"/>
      <rgbColor rgb="FF2D1A0E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2" min="11" style="0" width="14"/>
    <col collapsed="false" customWidth="true" hidden="false" outlineLevel="0" max="13" min="13" style="0" width="8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3" t="n">
        <v>1</v>
      </c>
      <c r="B2" s="3" t="s">
        <v>13</v>
      </c>
      <c r="C2" s="4" t="s">
        <v>14</v>
      </c>
      <c r="D2" s="5" t="s">
        <v>15</v>
      </c>
      <c r="E2" s="6" t="s">
        <v>16</v>
      </c>
      <c r="F2" s="6" t="s">
        <v>17</v>
      </c>
      <c r="G2" s="7" t="n">
        <v>22000</v>
      </c>
      <c r="H2" s="3" t="n">
        <v>3</v>
      </c>
      <c r="I2" s="7" t="n">
        <v>780</v>
      </c>
      <c r="J2" s="8" t="s">
        <v>18</v>
      </c>
      <c r="K2" s="3" t="s">
        <v>19</v>
      </c>
      <c r="L2" s="9" t="n">
        <v>46151</v>
      </c>
      <c r="M2" s="10" t="s">
        <v>20</v>
      </c>
    </row>
    <row r="3" customFormat="false" ht="15" hidden="false" customHeight="false" outlineLevel="0" collapsed="false">
      <c r="A3" s="3" t="n">
        <v>2</v>
      </c>
      <c r="B3" s="3" t="s">
        <v>13</v>
      </c>
      <c r="C3" s="4" t="s">
        <v>14</v>
      </c>
      <c r="D3" s="6" t="s">
        <v>21</v>
      </c>
      <c r="E3" s="6" t="s">
        <v>22</v>
      </c>
      <c r="F3" s="5" t="s">
        <v>23</v>
      </c>
      <c r="G3" s="7" t="n">
        <v>33000</v>
      </c>
      <c r="H3" s="3" t="n">
        <v>3</v>
      </c>
      <c r="I3" s="7" t="n">
        <v>920</v>
      </c>
      <c r="J3" s="8" t="s">
        <v>18</v>
      </c>
      <c r="K3" s="3" t="s">
        <v>19</v>
      </c>
      <c r="L3" s="9" t="n">
        <v>46144</v>
      </c>
      <c r="M3" s="10" t="s">
        <v>20</v>
      </c>
    </row>
    <row r="4" customFormat="false" ht="15" hidden="false" customHeight="false" outlineLevel="0" collapsed="false">
      <c r="A4" s="3" t="n">
        <v>3</v>
      </c>
      <c r="B4" s="3" t="s">
        <v>13</v>
      </c>
      <c r="C4" s="4" t="s">
        <v>14</v>
      </c>
      <c r="D4" s="6" t="s">
        <v>24</v>
      </c>
      <c r="E4" s="6" t="s">
        <v>25</v>
      </c>
      <c r="F4" s="6" t="s">
        <v>26</v>
      </c>
      <c r="G4" s="7" t="n">
        <v>12000</v>
      </c>
      <c r="H4" s="3" t="n">
        <v>4</v>
      </c>
      <c r="I4" s="7" t="n">
        <v>650</v>
      </c>
      <c r="J4" s="11" t="s">
        <v>27</v>
      </c>
      <c r="K4" s="3" t="s">
        <v>19</v>
      </c>
      <c r="L4" s="9" t="n">
        <v>46179</v>
      </c>
      <c r="M4" s="10" t="s">
        <v>20</v>
      </c>
    </row>
    <row r="5" customFormat="false" ht="15" hidden="false" customHeight="false" outlineLevel="0" collapsed="false">
      <c r="A5" s="3" t="n">
        <v>4</v>
      </c>
      <c r="B5" s="3" t="s">
        <v>13</v>
      </c>
      <c r="C5" s="4" t="s">
        <v>14</v>
      </c>
      <c r="D5" s="6" t="s">
        <v>28</v>
      </c>
      <c r="E5" s="6" t="s">
        <v>29</v>
      </c>
      <c r="F5" s="6" t="s">
        <v>30</v>
      </c>
      <c r="G5" s="7" t="n">
        <v>8500</v>
      </c>
      <c r="H5" s="3" t="n">
        <v>2</v>
      </c>
      <c r="I5" s="7" t="n">
        <v>540</v>
      </c>
      <c r="J5" s="11" t="s">
        <v>27</v>
      </c>
      <c r="K5" s="3" t="s">
        <v>19</v>
      </c>
      <c r="L5" s="9" t="n">
        <v>46183</v>
      </c>
      <c r="M5" s="10" t="s">
        <v>20</v>
      </c>
    </row>
    <row r="6" customFormat="false" ht="15" hidden="false" customHeight="false" outlineLevel="0" collapsed="false">
      <c r="A6" s="3" t="n">
        <v>5</v>
      </c>
      <c r="B6" s="3" t="s">
        <v>13</v>
      </c>
      <c r="C6" s="4" t="s">
        <v>14</v>
      </c>
      <c r="D6" s="6" t="s">
        <v>31</v>
      </c>
      <c r="E6" s="6" t="s">
        <v>32</v>
      </c>
      <c r="F6" s="6" t="s">
        <v>33</v>
      </c>
      <c r="G6" s="7" t="n">
        <v>9200</v>
      </c>
      <c r="H6" s="3" t="n">
        <v>3</v>
      </c>
      <c r="I6" s="7" t="n">
        <v>710</v>
      </c>
      <c r="J6" s="11" t="s">
        <v>27</v>
      </c>
      <c r="K6" s="3" t="s">
        <v>19</v>
      </c>
      <c r="L6" s="9" t="n">
        <v>46182</v>
      </c>
      <c r="M6" s="10" t="s">
        <v>20</v>
      </c>
    </row>
    <row r="7" customFormat="false" ht="15" hidden="false" customHeight="false" outlineLevel="0" collapsed="false">
      <c r="A7" s="3" t="n">
        <v>6</v>
      </c>
      <c r="B7" s="3" t="s">
        <v>13</v>
      </c>
      <c r="C7" s="4" t="s">
        <v>14</v>
      </c>
      <c r="D7" s="6" t="s">
        <v>34</v>
      </c>
      <c r="E7" s="6" t="s">
        <v>35</v>
      </c>
      <c r="F7" s="6" t="s">
        <v>36</v>
      </c>
      <c r="G7" s="7" t="n">
        <v>26000</v>
      </c>
      <c r="H7" s="3" t="n">
        <v>2</v>
      </c>
      <c r="I7" s="7" t="n">
        <v>480</v>
      </c>
      <c r="J7" s="8" t="s">
        <v>18</v>
      </c>
      <c r="K7" s="3" t="s">
        <v>19</v>
      </c>
      <c r="L7" s="9" t="n">
        <v>46146</v>
      </c>
      <c r="M7" s="10" t="s">
        <v>20</v>
      </c>
    </row>
    <row r="8" customFormat="false" ht="15" hidden="false" customHeight="false" outlineLevel="0" collapsed="false">
      <c r="A8" s="3" t="n">
        <v>7</v>
      </c>
      <c r="B8" s="3" t="s">
        <v>13</v>
      </c>
      <c r="C8" s="4" t="s">
        <v>14</v>
      </c>
      <c r="D8" s="6" t="s">
        <v>37</v>
      </c>
      <c r="E8" s="6" t="s">
        <v>38</v>
      </c>
      <c r="F8" s="6" t="s">
        <v>39</v>
      </c>
      <c r="G8" s="7" t="n">
        <v>15000</v>
      </c>
      <c r="H8" s="3" t="n">
        <v>2</v>
      </c>
      <c r="I8" s="7" t="n">
        <v>620</v>
      </c>
      <c r="J8" s="11" t="s">
        <v>27</v>
      </c>
      <c r="K8" s="3" t="s">
        <v>19</v>
      </c>
      <c r="L8" s="9" t="n">
        <v>46168</v>
      </c>
      <c r="M8" s="10" t="s">
        <v>20</v>
      </c>
    </row>
    <row r="9" customFormat="false" ht="15" hidden="false" customHeight="false" outlineLevel="0" collapsed="false">
      <c r="A9" s="3" t="n">
        <v>8</v>
      </c>
      <c r="B9" s="3" t="s">
        <v>13</v>
      </c>
      <c r="C9" s="4" t="s">
        <v>14</v>
      </c>
      <c r="D9" s="6" t="s">
        <v>40</v>
      </c>
      <c r="E9" s="6" t="s">
        <v>41</v>
      </c>
      <c r="F9" s="6" t="s">
        <v>42</v>
      </c>
      <c r="G9" s="7" t="n">
        <v>11000</v>
      </c>
      <c r="H9" s="3" t="n">
        <v>2</v>
      </c>
      <c r="I9" s="7" t="n">
        <v>680</v>
      </c>
      <c r="J9" s="11" t="s">
        <v>27</v>
      </c>
      <c r="K9" s="3" t="s">
        <v>19</v>
      </c>
      <c r="L9" s="9" t="n">
        <v>46180</v>
      </c>
      <c r="M9" s="10" t="s">
        <v>20</v>
      </c>
    </row>
    <row r="10" customFormat="false" ht="15" hidden="false" customHeight="false" outlineLevel="0" collapsed="false">
      <c r="A10" s="3" t="n">
        <v>9</v>
      </c>
      <c r="B10" s="3" t="s">
        <v>13</v>
      </c>
      <c r="C10" s="4" t="s">
        <v>14</v>
      </c>
      <c r="D10" s="6" t="s">
        <v>43</v>
      </c>
      <c r="E10" s="6" t="s">
        <v>44</v>
      </c>
      <c r="F10" s="6" t="s">
        <v>45</v>
      </c>
      <c r="G10" s="7" t="n">
        <v>14000</v>
      </c>
      <c r="H10" s="3" t="n">
        <v>4</v>
      </c>
      <c r="I10" s="7" t="n">
        <v>870</v>
      </c>
      <c r="J10" s="11" t="s">
        <v>27</v>
      </c>
      <c r="K10" s="3" t="s">
        <v>19</v>
      </c>
      <c r="L10" s="9" t="n">
        <v>46171</v>
      </c>
      <c r="M10" s="10" t="s">
        <v>20</v>
      </c>
    </row>
    <row r="11" customFormat="false" ht="15" hidden="false" customHeight="false" outlineLevel="0" collapsed="false">
      <c r="A11" s="3" t="n">
        <v>10</v>
      </c>
      <c r="B11" s="3" t="s">
        <v>13</v>
      </c>
      <c r="C11" s="4" t="s">
        <v>14</v>
      </c>
      <c r="D11" s="5" t="s">
        <v>46</v>
      </c>
      <c r="E11" s="6" t="s">
        <v>47</v>
      </c>
      <c r="F11" s="5" t="s">
        <v>48</v>
      </c>
      <c r="G11" s="7" t="n">
        <v>7800</v>
      </c>
      <c r="H11" s="3" t="n">
        <v>3</v>
      </c>
      <c r="I11" s="7" t="n">
        <v>590</v>
      </c>
      <c r="J11" s="12" t="s">
        <v>49</v>
      </c>
      <c r="K11" s="3" t="s">
        <v>19</v>
      </c>
      <c r="L11" s="9" t="n">
        <v>46192</v>
      </c>
      <c r="M11" s="10" t="s">
        <v>20</v>
      </c>
    </row>
    <row r="12" customFormat="false" ht="15" hidden="false" customHeight="false" outlineLevel="0" collapsed="false">
      <c r="A12" s="3" t="n">
        <v>11</v>
      </c>
      <c r="B12" s="3" t="s">
        <v>13</v>
      </c>
      <c r="C12" s="4" t="s">
        <v>14</v>
      </c>
      <c r="D12" s="6" t="s">
        <v>50</v>
      </c>
      <c r="E12" s="6" t="s">
        <v>51</v>
      </c>
      <c r="F12" s="6" t="s">
        <v>52</v>
      </c>
      <c r="G12" s="7" t="n">
        <v>18000</v>
      </c>
      <c r="H12" s="3" t="n">
        <v>3</v>
      </c>
      <c r="I12" s="7" t="n">
        <v>830</v>
      </c>
      <c r="J12" s="8" t="s">
        <v>18</v>
      </c>
      <c r="K12" s="3" t="s">
        <v>19</v>
      </c>
      <c r="L12" s="9" t="n">
        <v>46157</v>
      </c>
      <c r="M12" s="10" t="s">
        <v>20</v>
      </c>
    </row>
    <row r="13" customFormat="false" ht="15" hidden="false" customHeight="false" outlineLevel="0" collapsed="false">
      <c r="A13" s="3" t="n">
        <v>12</v>
      </c>
      <c r="B13" s="3" t="s">
        <v>13</v>
      </c>
      <c r="C13" s="4" t="s">
        <v>14</v>
      </c>
      <c r="D13" s="6" t="s">
        <v>53</v>
      </c>
      <c r="E13" s="6" t="s">
        <v>54</v>
      </c>
      <c r="F13" s="6" t="s">
        <v>55</v>
      </c>
      <c r="G13" s="7" t="n">
        <v>21000</v>
      </c>
      <c r="H13" s="3" t="n">
        <v>3</v>
      </c>
      <c r="I13" s="7" t="n">
        <v>740</v>
      </c>
      <c r="J13" s="8" t="s">
        <v>18</v>
      </c>
      <c r="K13" s="3" t="s">
        <v>19</v>
      </c>
      <c r="L13" s="9" t="n">
        <v>46153</v>
      </c>
      <c r="M13" s="10" t="s">
        <v>20</v>
      </c>
    </row>
    <row r="14" customFormat="false" ht="15" hidden="false" customHeight="false" outlineLevel="0" collapsed="false">
      <c r="A14" s="3" t="n">
        <v>13</v>
      </c>
      <c r="B14" s="3" t="s">
        <v>13</v>
      </c>
      <c r="C14" s="4" t="s">
        <v>14</v>
      </c>
      <c r="D14" s="6" t="s">
        <v>56</v>
      </c>
      <c r="E14" s="6" t="s">
        <v>57</v>
      </c>
      <c r="F14" s="6" t="s">
        <v>58</v>
      </c>
      <c r="G14" s="7" t="n">
        <v>9800</v>
      </c>
      <c r="H14" s="3" t="n">
        <v>3</v>
      </c>
      <c r="I14" s="7" t="n">
        <v>520</v>
      </c>
      <c r="J14" s="12" t="s">
        <v>49</v>
      </c>
      <c r="K14" s="3" t="s">
        <v>19</v>
      </c>
      <c r="L14" s="9" t="n">
        <v>46187</v>
      </c>
      <c r="M14" s="10" t="s">
        <v>20</v>
      </c>
    </row>
    <row r="15" customFormat="false" ht="15" hidden="false" customHeight="false" outlineLevel="0" collapsed="false">
      <c r="A15" s="3" t="n">
        <v>14</v>
      </c>
      <c r="B15" s="3" t="s">
        <v>13</v>
      </c>
      <c r="C15" s="4" t="s">
        <v>14</v>
      </c>
      <c r="D15" s="6" t="s">
        <v>59</v>
      </c>
      <c r="E15" s="5" t="s">
        <v>60</v>
      </c>
      <c r="F15" s="6" t="s">
        <v>61</v>
      </c>
      <c r="G15" s="7" t="n">
        <v>13500</v>
      </c>
      <c r="H15" s="3" t="n">
        <v>2</v>
      </c>
      <c r="I15" s="7" t="n">
        <v>610</v>
      </c>
      <c r="J15" s="11" t="s">
        <v>27</v>
      </c>
      <c r="K15" s="3" t="s">
        <v>19</v>
      </c>
      <c r="L15" s="9" t="n">
        <v>46173</v>
      </c>
      <c r="M15" s="10" t="s">
        <v>20</v>
      </c>
    </row>
    <row r="16" customFormat="false" ht="15" hidden="false" customHeight="false" outlineLevel="0" collapsed="false">
      <c r="A16" s="3" t="n">
        <v>15</v>
      </c>
      <c r="B16" s="3" t="s">
        <v>13</v>
      </c>
      <c r="C16" s="4" t="s">
        <v>14</v>
      </c>
      <c r="D16" s="6" t="s">
        <v>62</v>
      </c>
      <c r="E16" s="6" t="s">
        <v>63</v>
      </c>
      <c r="F16" s="6" t="s">
        <v>64</v>
      </c>
      <c r="G16" s="7" t="n">
        <v>16000</v>
      </c>
      <c r="H16" s="3" t="n">
        <v>2</v>
      </c>
      <c r="I16" s="7" t="n">
        <v>640</v>
      </c>
      <c r="J16" s="11" t="s">
        <v>27</v>
      </c>
      <c r="K16" s="3" t="s">
        <v>19</v>
      </c>
      <c r="L16" s="9" t="n">
        <v>46166</v>
      </c>
      <c r="M16" s="10" t="s">
        <v>20</v>
      </c>
    </row>
    <row r="17" customFormat="false" ht="15" hidden="false" customHeight="false" outlineLevel="0" collapsed="false">
      <c r="A17" s="3" t="n">
        <v>16</v>
      </c>
      <c r="B17" s="3" t="s">
        <v>65</v>
      </c>
      <c r="C17" s="4" t="s">
        <v>66</v>
      </c>
      <c r="D17" s="6" t="s">
        <v>67</v>
      </c>
      <c r="E17" s="6" t="s">
        <v>68</v>
      </c>
      <c r="F17" s="6" t="s">
        <v>69</v>
      </c>
      <c r="G17" s="7" t="n">
        <v>35000</v>
      </c>
      <c r="H17" s="3" t="n">
        <v>2</v>
      </c>
      <c r="I17" s="7" t="n">
        <v>550</v>
      </c>
      <c r="J17" s="8" t="s">
        <v>18</v>
      </c>
      <c r="K17" s="3" t="s">
        <v>19</v>
      </c>
      <c r="L17" s="9" t="n">
        <v>46143</v>
      </c>
      <c r="M17" s="10" t="s">
        <v>20</v>
      </c>
    </row>
    <row r="18" customFormat="false" ht="15" hidden="false" customHeight="false" outlineLevel="0" collapsed="false">
      <c r="A18" s="3" t="n">
        <v>17</v>
      </c>
      <c r="B18" s="3" t="s">
        <v>65</v>
      </c>
      <c r="C18" s="4" t="s">
        <v>66</v>
      </c>
      <c r="D18" s="6" t="s">
        <v>70</v>
      </c>
      <c r="E18" s="6" t="s">
        <v>71</v>
      </c>
      <c r="F18" s="6" t="s">
        <v>72</v>
      </c>
      <c r="G18" s="7" t="n">
        <v>24000</v>
      </c>
      <c r="H18" s="3" t="n">
        <v>3</v>
      </c>
      <c r="I18" s="7" t="n">
        <v>680</v>
      </c>
      <c r="J18" s="8" t="s">
        <v>18</v>
      </c>
      <c r="K18" s="3" t="s">
        <v>19</v>
      </c>
      <c r="L18" s="9" t="n">
        <v>46148</v>
      </c>
      <c r="M18" s="10" t="s">
        <v>20</v>
      </c>
    </row>
    <row r="19" customFormat="false" ht="15" hidden="false" customHeight="false" outlineLevel="0" collapsed="false">
      <c r="A19" s="3" t="n">
        <v>18</v>
      </c>
      <c r="B19" s="3" t="s">
        <v>65</v>
      </c>
      <c r="C19" s="4" t="s">
        <v>66</v>
      </c>
      <c r="D19" s="5" t="s">
        <v>73</v>
      </c>
      <c r="E19" s="5" t="s">
        <v>74</v>
      </c>
      <c r="F19" s="6" t="s">
        <v>75</v>
      </c>
      <c r="G19" s="7" t="n">
        <v>19000</v>
      </c>
      <c r="H19" s="3" t="n">
        <v>3</v>
      </c>
      <c r="I19" s="7" t="n">
        <v>720</v>
      </c>
      <c r="J19" s="11" t="s">
        <v>27</v>
      </c>
      <c r="K19" s="3" t="s">
        <v>19</v>
      </c>
      <c r="L19" s="9" t="n">
        <v>46160</v>
      </c>
      <c r="M19" s="10" t="s">
        <v>20</v>
      </c>
    </row>
    <row r="20" customFormat="false" ht="15" hidden="false" customHeight="false" outlineLevel="0" collapsed="false">
      <c r="A20" s="3" t="n">
        <v>19</v>
      </c>
      <c r="B20" s="3" t="s">
        <v>65</v>
      </c>
      <c r="C20" s="4" t="s">
        <v>66</v>
      </c>
      <c r="D20" s="6" t="s">
        <v>76</v>
      </c>
      <c r="E20" s="6" t="s">
        <v>77</v>
      </c>
      <c r="F20" s="6" t="s">
        <v>78</v>
      </c>
      <c r="G20" s="7" t="n">
        <v>17000</v>
      </c>
      <c r="H20" s="3" t="n">
        <v>3</v>
      </c>
      <c r="I20" s="7" t="n">
        <v>760</v>
      </c>
      <c r="J20" s="11" t="s">
        <v>27</v>
      </c>
      <c r="K20" s="3" t="s">
        <v>19</v>
      </c>
      <c r="L20" s="9" t="n">
        <v>46163</v>
      </c>
      <c r="M20" s="10" t="s">
        <v>20</v>
      </c>
    </row>
    <row r="21" customFormat="false" ht="15" hidden="false" customHeight="false" outlineLevel="0" collapsed="false">
      <c r="A21" s="3" t="n">
        <v>20</v>
      </c>
      <c r="B21" s="3" t="s">
        <v>65</v>
      </c>
      <c r="C21" s="4" t="s">
        <v>66</v>
      </c>
      <c r="D21" s="6" t="s">
        <v>79</v>
      </c>
      <c r="E21" s="6" t="s">
        <v>80</v>
      </c>
      <c r="F21" s="6" t="s">
        <v>81</v>
      </c>
      <c r="G21" s="7" t="n">
        <v>11000</v>
      </c>
      <c r="H21" s="3" t="n">
        <v>3</v>
      </c>
      <c r="I21" s="7" t="n">
        <v>640</v>
      </c>
      <c r="J21" s="12" t="s">
        <v>49</v>
      </c>
      <c r="K21" s="3" t="s">
        <v>19</v>
      </c>
      <c r="L21" s="9" t="n">
        <v>46184</v>
      </c>
      <c r="M21" s="10" t="s">
        <v>20</v>
      </c>
    </row>
    <row r="22" customFormat="false" ht="15" hidden="false" customHeight="false" outlineLevel="0" collapsed="false">
      <c r="A22" s="3" t="n">
        <v>21</v>
      </c>
      <c r="B22" s="3" t="s">
        <v>65</v>
      </c>
      <c r="C22" s="4" t="s">
        <v>66</v>
      </c>
      <c r="D22" s="6" t="s">
        <v>82</v>
      </c>
      <c r="E22" s="6" t="s">
        <v>83</v>
      </c>
      <c r="F22" s="6" t="s">
        <v>84</v>
      </c>
      <c r="G22" s="7" t="n">
        <v>14000</v>
      </c>
      <c r="H22" s="3" t="n">
        <v>3</v>
      </c>
      <c r="I22" s="7" t="n">
        <v>590</v>
      </c>
      <c r="J22" s="11" t="s">
        <v>27</v>
      </c>
      <c r="K22" s="3" t="s">
        <v>19</v>
      </c>
      <c r="L22" s="9" t="n">
        <v>46172</v>
      </c>
      <c r="M22" s="10" t="s">
        <v>20</v>
      </c>
    </row>
    <row r="23" customFormat="false" ht="15" hidden="false" customHeight="false" outlineLevel="0" collapsed="false">
      <c r="A23" s="3" t="n">
        <v>22</v>
      </c>
      <c r="B23" s="3" t="s">
        <v>65</v>
      </c>
      <c r="C23" s="4" t="s">
        <v>66</v>
      </c>
      <c r="D23" s="6" t="s">
        <v>85</v>
      </c>
      <c r="E23" s="6" t="s">
        <v>86</v>
      </c>
      <c r="F23" s="6" t="s">
        <v>87</v>
      </c>
      <c r="G23" s="7" t="n">
        <v>9500</v>
      </c>
      <c r="H23" s="3" t="n">
        <v>2</v>
      </c>
      <c r="I23" s="7" t="n">
        <v>470</v>
      </c>
      <c r="J23" s="12" t="s">
        <v>49</v>
      </c>
      <c r="K23" s="3" t="s">
        <v>19</v>
      </c>
      <c r="L23" s="9" t="n">
        <v>46188</v>
      </c>
      <c r="M23" s="10" t="s">
        <v>20</v>
      </c>
    </row>
    <row r="24" customFormat="false" ht="15" hidden="false" customHeight="false" outlineLevel="0" collapsed="false">
      <c r="A24" s="3" t="n">
        <v>23</v>
      </c>
      <c r="B24" s="3" t="s">
        <v>65</v>
      </c>
      <c r="C24" s="4" t="s">
        <v>66</v>
      </c>
      <c r="D24" s="6" t="s">
        <v>88</v>
      </c>
      <c r="E24" s="6" t="s">
        <v>89</v>
      </c>
      <c r="F24" s="5" t="s">
        <v>90</v>
      </c>
      <c r="G24" s="7" t="n">
        <v>28000</v>
      </c>
      <c r="H24" s="3" t="n">
        <v>2</v>
      </c>
      <c r="I24" s="7" t="n">
        <v>610</v>
      </c>
      <c r="J24" s="8" t="s">
        <v>18</v>
      </c>
      <c r="K24" s="3" t="s">
        <v>19</v>
      </c>
      <c r="L24" s="9" t="n">
        <v>46144</v>
      </c>
      <c r="M24" s="10" t="s">
        <v>20</v>
      </c>
    </row>
    <row r="25" customFormat="false" ht="15" hidden="false" customHeight="false" outlineLevel="0" collapsed="false">
      <c r="A25" s="3" t="n">
        <v>24</v>
      </c>
      <c r="B25" s="3" t="s">
        <v>65</v>
      </c>
      <c r="C25" s="4" t="s">
        <v>66</v>
      </c>
      <c r="D25" s="6" t="s">
        <v>91</v>
      </c>
      <c r="E25" s="6" t="s">
        <v>92</v>
      </c>
      <c r="F25" s="6" t="s">
        <v>93</v>
      </c>
      <c r="G25" s="7" t="n">
        <v>22000</v>
      </c>
      <c r="H25" s="3" t="n">
        <v>2</v>
      </c>
      <c r="I25" s="7" t="n">
        <v>520</v>
      </c>
      <c r="J25" s="8" t="s">
        <v>18</v>
      </c>
      <c r="K25" s="3" t="s">
        <v>19</v>
      </c>
      <c r="L25" s="9" t="n">
        <v>46151</v>
      </c>
      <c r="M25" s="10" t="s">
        <v>20</v>
      </c>
    </row>
    <row r="26" customFormat="false" ht="15" hidden="false" customHeight="false" outlineLevel="0" collapsed="false">
      <c r="A26" s="3" t="n">
        <v>25</v>
      </c>
      <c r="B26" s="3" t="s">
        <v>65</v>
      </c>
      <c r="C26" s="4" t="s">
        <v>66</v>
      </c>
      <c r="D26" s="6" t="s">
        <v>94</v>
      </c>
      <c r="E26" s="6" t="s">
        <v>95</v>
      </c>
      <c r="F26" s="6" t="s">
        <v>96</v>
      </c>
      <c r="G26" s="7" t="n">
        <v>8200</v>
      </c>
      <c r="H26" s="3" t="n">
        <v>2</v>
      </c>
      <c r="I26" s="7" t="n">
        <v>450</v>
      </c>
      <c r="J26" s="12" t="s">
        <v>49</v>
      </c>
      <c r="K26" s="3" t="s">
        <v>19</v>
      </c>
      <c r="L26" s="9" t="n">
        <v>46191</v>
      </c>
      <c r="M26" s="10" t="s">
        <v>20</v>
      </c>
    </row>
    <row r="27" customFormat="false" ht="15" hidden="false" customHeight="false" outlineLevel="0" collapsed="false">
      <c r="A27" s="3" t="n">
        <v>26</v>
      </c>
      <c r="B27" s="3" t="s">
        <v>65</v>
      </c>
      <c r="C27" s="4" t="s">
        <v>66</v>
      </c>
      <c r="D27" s="6" t="s">
        <v>97</v>
      </c>
      <c r="E27" s="6" t="s">
        <v>98</v>
      </c>
      <c r="F27" s="6" t="s">
        <v>99</v>
      </c>
      <c r="G27" s="7" t="n">
        <v>12500</v>
      </c>
      <c r="H27" s="3" t="n">
        <v>3</v>
      </c>
      <c r="I27" s="7" t="n">
        <v>670</v>
      </c>
      <c r="J27" s="11" t="s">
        <v>27</v>
      </c>
      <c r="K27" s="3" t="s">
        <v>19</v>
      </c>
      <c r="L27" s="9" t="n">
        <v>46177</v>
      </c>
      <c r="M27" s="10" t="s">
        <v>20</v>
      </c>
    </row>
    <row r="28" customFormat="false" ht="15" hidden="false" customHeight="false" outlineLevel="0" collapsed="false">
      <c r="A28" s="3" t="n">
        <v>27</v>
      </c>
      <c r="B28" s="3" t="s">
        <v>65</v>
      </c>
      <c r="C28" s="4" t="s">
        <v>66</v>
      </c>
      <c r="D28" s="6" t="s">
        <v>100</v>
      </c>
      <c r="E28" s="6" t="s">
        <v>101</v>
      </c>
      <c r="F28" s="6" t="s">
        <v>102</v>
      </c>
      <c r="G28" s="7" t="n">
        <v>10500</v>
      </c>
      <c r="H28" s="3" t="n">
        <v>3</v>
      </c>
      <c r="I28" s="7" t="n">
        <v>580</v>
      </c>
      <c r="J28" s="11" t="s">
        <v>27</v>
      </c>
      <c r="K28" s="3" t="s">
        <v>19</v>
      </c>
      <c r="L28" s="9" t="n">
        <v>46181</v>
      </c>
      <c r="M28" s="10" t="s">
        <v>20</v>
      </c>
    </row>
    <row r="29" customFormat="false" ht="15" hidden="false" customHeight="false" outlineLevel="0" collapsed="false">
      <c r="A29" s="3" t="n">
        <v>28</v>
      </c>
      <c r="B29" s="3" t="s">
        <v>103</v>
      </c>
      <c r="C29" s="4" t="s">
        <v>104</v>
      </c>
      <c r="D29" s="6" t="s">
        <v>105</v>
      </c>
      <c r="E29" s="6" t="s">
        <v>106</v>
      </c>
      <c r="F29" s="6" t="s">
        <v>107</v>
      </c>
      <c r="G29" s="7" t="n">
        <v>20000</v>
      </c>
      <c r="H29" s="3" t="n">
        <v>2</v>
      </c>
      <c r="I29" s="7" t="n">
        <v>520</v>
      </c>
      <c r="J29" s="8" t="s">
        <v>18</v>
      </c>
      <c r="K29" s="3" t="s">
        <v>19</v>
      </c>
      <c r="L29" s="9" t="n">
        <v>46154</v>
      </c>
      <c r="M29" s="10" t="s">
        <v>20</v>
      </c>
    </row>
    <row r="30" customFormat="false" ht="15" hidden="false" customHeight="false" outlineLevel="0" collapsed="false">
      <c r="A30" s="3" t="n">
        <v>29</v>
      </c>
      <c r="B30" s="3" t="s">
        <v>103</v>
      </c>
      <c r="C30" s="4" t="s">
        <v>104</v>
      </c>
      <c r="D30" s="5" t="s">
        <v>108</v>
      </c>
      <c r="E30" s="5" t="s">
        <v>109</v>
      </c>
      <c r="F30" s="6" t="s">
        <v>110</v>
      </c>
      <c r="G30" s="7" t="n">
        <v>13000</v>
      </c>
      <c r="H30" s="3" t="n">
        <v>3</v>
      </c>
      <c r="I30" s="7" t="n">
        <v>610</v>
      </c>
      <c r="J30" s="11" t="s">
        <v>27</v>
      </c>
      <c r="K30" s="3" t="s">
        <v>19</v>
      </c>
      <c r="L30" s="9" t="n">
        <v>46174</v>
      </c>
      <c r="M30" s="10" t="s">
        <v>20</v>
      </c>
    </row>
    <row r="31" customFormat="false" ht="15" hidden="false" customHeight="false" outlineLevel="0" collapsed="false">
      <c r="A31" s="3" t="n">
        <v>30</v>
      </c>
      <c r="B31" s="3" t="s">
        <v>103</v>
      </c>
      <c r="C31" s="4" t="s">
        <v>104</v>
      </c>
      <c r="D31" s="5" t="s">
        <v>111</v>
      </c>
      <c r="E31" s="5" t="s">
        <v>112</v>
      </c>
      <c r="F31" s="6" t="s">
        <v>113</v>
      </c>
      <c r="G31" s="7" t="n">
        <v>9500</v>
      </c>
      <c r="H31" s="3" t="n">
        <v>3</v>
      </c>
      <c r="I31" s="7" t="n">
        <v>680</v>
      </c>
      <c r="J31" s="11" t="s">
        <v>27</v>
      </c>
      <c r="K31" s="3" t="s">
        <v>19</v>
      </c>
      <c r="L31" s="9" t="n">
        <v>46182</v>
      </c>
      <c r="M31" s="10" t="s">
        <v>20</v>
      </c>
    </row>
    <row r="32" customFormat="false" ht="15" hidden="false" customHeight="false" outlineLevel="0" collapsed="false">
      <c r="A32" s="3" t="n">
        <v>31</v>
      </c>
      <c r="B32" s="3" t="s">
        <v>103</v>
      </c>
      <c r="C32" s="4" t="s">
        <v>104</v>
      </c>
      <c r="D32" s="6" t="s">
        <v>114</v>
      </c>
      <c r="E32" s="6" t="s">
        <v>115</v>
      </c>
      <c r="F32" s="6" t="s">
        <v>116</v>
      </c>
      <c r="G32" s="7" t="n">
        <v>38000</v>
      </c>
      <c r="H32" s="3" t="n">
        <v>2</v>
      </c>
      <c r="I32" s="7" t="n">
        <v>920</v>
      </c>
      <c r="J32" s="8" t="s">
        <v>18</v>
      </c>
      <c r="K32" s="3" t="s">
        <v>19</v>
      </c>
      <c r="L32" s="9" t="n">
        <v>46143</v>
      </c>
      <c r="M32" s="10" t="s">
        <v>20</v>
      </c>
    </row>
    <row r="33" customFormat="false" ht="15" hidden="false" customHeight="false" outlineLevel="0" collapsed="false">
      <c r="A33" s="3" t="n">
        <v>32</v>
      </c>
      <c r="B33" s="3" t="s">
        <v>103</v>
      </c>
      <c r="C33" s="4" t="s">
        <v>104</v>
      </c>
      <c r="D33" s="6" t="s">
        <v>117</v>
      </c>
      <c r="E33" s="6" t="s">
        <v>118</v>
      </c>
      <c r="F33" s="6" t="s">
        <v>119</v>
      </c>
      <c r="G33" s="7" t="n">
        <v>7800</v>
      </c>
      <c r="H33" s="3" t="n">
        <v>4</v>
      </c>
      <c r="I33" s="7" t="n">
        <v>540</v>
      </c>
      <c r="J33" s="12" t="s">
        <v>49</v>
      </c>
      <c r="K33" s="3" t="s">
        <v>19</v>
      </c>
      <c r="L33" s="9" t="n">
        <v>46192</v>
      </c>
      <c r="M33" s="10" t="s">
        <v>20</v>
      </c>
    </row>
    <row r="34" customFormat="false" ht="15" hidden="false" customHeight="false" outlineLevel="0" collapsed="false">
      <c r="A34" s="3" t="n">
        <v>33</v>
      </c>
      <c r="B34" s="3" t="s">
        <v>103</v>
      </c>
      <c r="C34" s="4" t="s">
        <v>104</v>
      </c>
      <c r="D34" s="6" t="s">
        <v>120</v>
      </c>
      <c r="E34" s="6" t="s">
        <v>121</v>
      </c>
      <c r="F34" s="6" t="s">
        <v>122</v>
      </c>
      <c r="G34" s="7" t="n">
        <v>16000</v>
      </c>
      <c r="H34" s="3" t="n">
        <v>2</v>
      </c>
      <c r="I34" s="7" t="n">
        <v>480</v>
      </c>
      <c r="J34" s="11" t="s">
        <v>27</v>
      </c>
      <c r="K34" s="3" t="s">
        <v>19</v>
      </c>
      <c r="L34" s="9" t="n">
        <v>46166</v>
      </c>
      <c r="M34" s="10" t="s">
        <v>20</v>
      </c>
    </row>
    <row r="35" customFormat="false" ht="15" hidden="false" customHeight="false" outlineLevel="0" collapsed="false">
      <c r="A35" s="3" t="n">
        <v>34</v>
      </c>
      <c r="B35" s="3" t="s">
        <v>103</v>
      </c>
      <c r="C35" s="4" t="s">
        <v>104</v>
      </c>
      <c r="D35" s="6" t="s">
        <v>123</v>
      </c>
      <c r="E35" s="6" t="s">
        <v>124</v>
      </c>
      <c r="F35" s="6" t="s">
        <v>125</v>
      </c>
      <c r="G35" s="7" t="n">
        <v>11500</v>
      </c>
      <c r="H35" s="3" t="n">
        <v>3</v>
      </c>
      <c r="I35" s="7" t="n">
        <v>620</v>
      </c>
      <c r="J35" s="12" t="s">
        <v>49</v>
      </c>
      <c r="K35" s="3" t="s">
        <v>19</v>
      </c>
      <c r="L35" s="9" t="n">
        <v>46183</v>
      </c>
      <c r="M35" s="10" t="s">
        <v>20</v>
      </c>
    </row>
    <row r="36" customFormat="false" ht="15" hidden="false" customHeight="false" outlineLevel="0" collapsed="false">
      <c r="A36" s="3" t="n">
        <v>35</v>
      </c>
      <c r="B36" s="3" t="s">
        <v>103</v>
      </c>
      <c r="C36" s="4" t="s">
        <v>104</v>
      </c>
      <c r="D36" s="6" t="s">
        <v>126</v>
      </c>
      <c r="E36" s="6" t="s">
        <v>127</v>
      </c>
      <c r="F36" s="6" t="s">
        <v>128</v>
      </c>
      <c r="G36" s="7" t="n">
        <v>14500</v>
      </c>
      <c r="H36" s="3" t="n">
        <v>3</v>
      </c>
      <c r="I36" s="7" t="n">
        <v>770</v>
      </c>
      <c r="J36" s="11" t="s">
        <v>27</v>
      </c>
      <c r="K36" s="3" t="s">
        <v>19</v>
      </c>
      <c r="L36" s="9" t="n">
        <v>46170</v>
      </c>
      <c r="M36" s="10" t="s">
        <v>20</v>
      </c>
    </row>
    <row r="37" customFormat="false" ht="15" hidden="false" customHeight="false" outlineLevel="0" collapsed="false">
      <c r="A37" s="3" t="n">
        <v>36</v>
      </c>
      <c r="B37" s="3" t="s">
        <v>103</v>
      </c>
      <c r="C37" s="4" t="s">
        <v>104</v>
      </c>
      <c r="D37" s="5" t="s">
        <v>129</v>
      </c>
      <c r="E37" s="5" t="s">
        <v>130</v>
      </c>
      <c r="F37" s="6" t="s">
        <v>131</v>
      </c>
      <c r="G37" s="7" t="n">
        <v>17000</v>
      </c>
      <c r="H37" s="3" t="n">
        <v>3</v>
      </c>
      <c r="I37" s="7" t="n">
        <v>650</v>
      </c>
      <c r="J37" s="11" t="s">
        <v>27</v>
      </c>
      <c r="K37" s="3" t="s">
        <v>19</v>
      </c>
      <c r="L37" s="9" t="n">
        <v>46164</v>
      </c>
      <c r="M37" s="10" t="s">
        <v>20</v>
      </c>
    </row>
    <row r="38" customFormat="false" ht="15" hidden="false" customHeight="false" outlineLevel="0" collapsed="false">
      <c r="A38" s="3" t="n">
        <v>37</v>
      </c>
      <c r="B38" s="3" t="s">
        <v>103</v>
      </c>
      <c r="C38" s="4" t="s">
        <v>104</v>
      </c>
      <c r="D38" s="6" t="s">
        <v>132</v>
      </c>
      <c r="E38" s="6" t="s">
        <v>133</v>
      </c>
      <c r="F38" s="6" t="s">
        <v>134</v>
      </c>
      <c r="G38" s="7" t="n">
        <v>8400</v>
      </c>
      <c r="H38" s="3" t="n">
        <v>2</v>
      </c>
      <c r="I38" s="7" t="n">
        <v>420</v>
      </c>
      <c r="J38" s="12" t="s">
        <v>49</v>
      </c>
      <c r="K38" s="3" t="s">
        <v>19</v>
      </c>
      <c r="L38" s="9" t="n">
        <v>46191</v>
      </c>
      <c r="M38" s="10" t="s">
        <v>20</v>
      </c>
    </row>
    <row r="39" customFormat="false" ht="15" hidden="false" customHeight="false" outlineLevel="0" collapsed="false">
      <c r="A39" s="3" t="n">
        <v>38</v>
      </c>
      <c r="B39" s="3" t="s">
        <v>135</v>
      </c>
      <c r="C39" s="4" t="s">
        <v>136</v>
      </c>
      <c r="D39" s="6" t="s">
        <v>137</v>
      </c>
      <c r="E39" s="6" t="s">
        <v>138</v>
      </c>
      <c r="F39" s="6" t="s">
        <v>139</v>
      </c>
      <c r="G39" s="7" t="n">
        <v>26000</v>
      </c>
      <c r="H39" s="3" t="n">
        <v>2</v>
      </c>
      <c r="I39" s="7" t="n">
        <v>580</v>
      </c>
      <c r="J39" s="8" t="s">
        <v>18</v>
      </c>
      <c r="K39" s="3" t="s">
        <v>19</v>
      </c>
      <c r="L39" s="9" t="n">
        <v>46146</v>
      </c>
      <c r="M39" s="10" t="s">
        <v>20</v>
      </c>
    </row>
    <row r="40" customFormat="false" ht="15" hidden="false" customHeight="false" outlineLevel="0" collapsed="false">
      <c r="A40" s="3" t="n">
        <v>39</v>
      </c>
      <c r="B40" s="3" t="s">
        <v>135</v>
      </c>
      <c r="C40" s="4" t="s">
        <v>136</v>
      </c>
      <c r="D40" s="6" t="s">
        <v>140</v>
      </c>
      <c r="E40" s="6" t="s">
        <v>141</v>
      </c>
      <c r="F40" s="6" t="s">
        <v>142</v>
      </c>
      <c r="G40" s="7" t="n">
        <v>15000</v>
      </c>
      <c r="H40" s="3" t="n">
        <v>2</v>
      </c>
      <c r="I40" s="7" t="n">
        <v>510</v>
      </c>
      <c r="J40" s="11" t="s">
        <v>27</v>
      </c>
      <c r="K40" s="3" t="s">
        <v>19</v>
      </c>
      <c r="L40" s="9" t="n">
        <v>46168</v>
      </c>
      <c r="M40" s="10" t="s">
        <v>20</v>
      </c>
    </row>
    <row r="41" customFormat="false" ht="15" hidden="false" customHeight="false" outlineLevel="0" collapsed="false">
      <c r="A41" s="3" t="n">
        <v>40</v>
      </c>
      <c r="B41" s="3" t="s">
        <v>135</v>
      </c>
      <c r="C41" s="4" t="s">
        <v>136</v>
      </c>
      <c r="D41" s="6" t="s">
        <v>143</v>
      </c>
      <c r="E41" s="6" t="s">
        <v>144</v>
      </c>
      <c r="F41" s="6" t="s">
        <v>145</v>
      </c>
      <c r="G41" s="7" t="n">
        <v>19000</v>
      </c>
      <c r="H41" s="3" t="n">
        <v>2</v>
      </c>
      <c r="I41" s="7" t="n">
        <v>460</v>
      </c>
      <c r="J41" s="11" t="s">
        <v>27</v>
      </c>
      <c r="K41" s="3" t="s">
        <v>19</v>
      </c>
      <c r="L41" s="9" t="n">
        <v>46161</v>
      </c>
      <c r="M41" s="10" t="s">
        <v>20</v>
      </c>
    </row>
    <row r="42" customFormat="false" ht="15" hidden="false" customHeight="false" outlineLevel="0" collapsed="false">
      <c r="A42" s="3" t="n">
        <v>41</v>
      </c>
      <c r="B42" s="3" t="s">
        <v>135</v>
      </c>
      <c r="C42" s="4" t="s">
        <v>136</v>
      </c>
      <c r="D42" s="6" t="s">
        <v>146</v>
      </c>
      <c r="E42" s="6" t="s">
        <v>147</v>
      </c>
      <c r="F42" s="6" t="s">
        <v>148</v>
      </c>
      <c r="G42" s="7" t="n">
        <v>12500</v>
      </c>
      <c r="H42" s="3" t="n">
        <v>3</v>
      </c>
      <c r="I42" s="7" t="n">
        <v>640</v>
      </c>
      <c r="J42" s="11" t="s">
        <v>27</v>
      </c>
      <c r="K42" s="3" t="s">
        <v>19</v>
      </c>
      <c r="L42" s="9" t="n">
        <v>46178</v>
      </c>
      <c r="M42" s="10" t="s">
        <v>20</v>
      </c>
    </row>
    <row r="43" customFormat="false" ht="15" hidden="false" customHeight="false" outlineLevel="0" collapsed="false">
      <c r="A43" s="3" t="n">
        <v>42</v>
      </c>
      <c r="B43" s="3" t="s">
        <v>135</v>
      </c>
      <c r="C43" s="4" t="s">
        <v>136</v>
      </c>
      <c r="D43" s="6" t="s">
        <v>149</v>
      </c>
      <c r="E43" s="6" t="s">
        <v>150</v>
      </c>
      <c r="F43" s="6" t="s">
        <v>151</v>
      </c>
      <c r="G43" s="7" t="n">
        <v>10000</v>
      </c>
      <c r="H43" s="3" t="n">
        <v>2</v>
      </c>
      <c r="I43" s="7" t="n">
        <v>490</v>
      </c>
      <c r="J43" s="12" t="s">
        <v>49</v>
      </c>
      <c r="K43" s="3" t="s">
        <v>19</v>
      </c>
      <c r="L43" s="9" t="n">
        <v>46186</v>
      </c>
      <c r="M43" s="10" t="s">
        <v>20</v>
      </c>
    </row>
    <row r="44" customFormat="false" ht="15" hidden="false" customHeight="false" outlineLevel="0" collapsed="false">
      <c r="A44" s="3" t="n">
        <v>43</v>
      </c>
      <c r="B44" s="3" t="s">
        <v>135</v>
      </c>
      <c r="C44" s="4" t="s">
        <v>136</v>
      </c>
      <c r="D44" s="6" t="s">
        <v>152</v>
      </c>
      <c r="E44" s="6" t="s">
        <v>153</v>
      </c>
      <c r="F44" s="6" t="s">
        <v>154</v>
      </c>
      <c r="G44" s="7" t="n">
        <v>13000</v>
      </c>
      <c r="H44" s="3" t="n">
        <v>2</v>
      </c>
      <c r="I44" s="7" t="n">
        <v>520</v>
      </c>
      <c r="J44" s="11" t="s">
        <v>27</v>
      </c>
      <c r="K44" s="3" t="s">
        <v>19</v>
      </c>
      <c r="L44" s="9" t="n">
        <v>46175</v>
      </c>
      <c r="M44" s="10" t="s">
        <v>20</v>
      </c>
    </row>
    <row r="45" customFormat="false" ht="15" hidden="false" customHeight="false" outlineLevel="0" collapsed="false">
      <c r="A45" s="3" t="n">
        <v>44</v>
      </c>
      <c r="B45" s="3" t="s">
        <v>135</v>
      </c>
      <c r="C45" s="4" t="s">
        <v>136</v>
      </c>
      <c r="D45" s="6" t="s">
        <v>155</v>
      </c>
      <c r="E45" s="6" t="s">
        <v>156</v>
      </c>
      <c r="F45" s="6" t="s">
        <v>157</v>
      </c>
      <c r="G45" s="7" t="n">
        <v>9000</v>
      </c>
      <c r="H45" s="3" t="n">
        <v>2</v>
      </c>
      <c r="I45" s="7" t="n">
        <v>580</v>
      </c>
      <c r="J45" s="12" t="s">
        <v>49</v>
      </c>
      <c r="K45" s="3" t="s">
        <v>19</v>
      </c>
      <c r="L45" s="9" t="n">
        <v>46189</v>
      </c>
      <c r="M45" s="10" t="s">
        <v>20</v>
      </c>
    </row>
    <row r="46" customFormat="false" ht="15" hidden="false" customHeight="false" outlineLevel="0" collapsed="false">
      <c r="A46" s="3" t="n">
        <v>45</v>
      </c>
      <c r="B46" s="3" t="s">
        <v>135</v>
      </c>
      <c r="C46" s="4" t="s">
        <v>136</v>
      </c>
      <c r="D46" s="6" t="s">
        <v>158</v>
      </c>
      <c r="E46" s="6" t="s">
        <v>159</v>
      </c>
      <c r="F46" s="6" t="s">
        <v>160</v>
      </c>
      <c r="G46" s="7" t="n">
        <v>16500</v>
      </c>
      <c r="H46" s="3" t="n">
        <v>2</v>
      </c>
      <c r="I46" s="7" t="n">
        <v>540</v>
      </c>
      <c r="J46" s="11" t="s">
        <v>27</v>
      </c>
      <c r="K46" s="3" t="s">
        <v>19</v>
      </c>
      <c r="L46" s="9" t="n">
        <v>46165</v>
      </c>
      <c r="M46" s="10" t="s">
        <v>20</v>
      </c>
    </row>
    <row r="47" customFormat="false" ht="15" hidden="false" customHeight="false" outlineLevel="0" collapsed="false">
      <c r="A47" s="3" t="n">
        <v>46</v>
      </c>
      <c r="B47" s="3" t="s">
        <v>135</v>
      </c>
      <c r="C47" s="4" t="s">
        <v>136</v>
      </c>
      <c r="D47" s="6" t="s">
        <v>161</v>
      </c>
      <c r="E47" s="6" t="s">
        <v>162</v>
      </c>
      <c r="F47" s="6" t="s">
        <v>163</v>
      </c>
      <c r="G47" s="7" t="n">
        <v>14000</v>
      </c>
      <c r="H47" s="3" t="n">
        <v>3</v>
      </c>
      <c r="I47" s="7" t="n">
        <v>720</v>
      </c>
      <c r="J47" s="11" t="s">
        <v>27</v>
      </c>
      <c r="K47" s="3" t="s">
        <v>19</v>
      </c>
      <c r="L47" s="9" t="n">
        <v>46172</v>
      </c>
      <c r="M47" s="10" t="s">
        <v>20</v>
      </c>
    </row>
    <row r="48" customFormat="false" ht="15" hidden="false" customHeight="false" outlineLevel="0" collapsed="false">
      <c r="A48" s="3" t="n">
        <v>47</v>
      </c>
      <c r="B48" s="3" t="s">
        <v>135</v>
      </c>
      <c r="C48" s="4" t="s">
        <v>136</v>
      </c>
      <c r="D48" s="6" t="s">
        <v>164</v>
      </c>
      <c r="E48" s="6" t="s">
        <v>165</v>
      </c>
      <c r="F48" s="6" t="s">
        <v>166</v>
      </c>
      <c r="G48" s="7" t="n">
        <v>8700</v>
      </c>
      <c r="H48" s="3" t="n">
        <v>3</v>
      </c>
      <c r="I48" s="7" t="n">
        <v>660</v>
      </c>
      <c r="J48" s="12" t="s">
        <v>49</v>
      </c>
      <c r="K48" s="3" t="s">
        <v>19</v>
      </c>
      <c r="L48" s="9" t="n">
        <v>46190</v>
      </c>
      <c r="M48" s="10" t="s">
        <v>20</v>
      </c>
    </row>
    <row r="49" customFormat="false" ht="15" hidden="false" customHeight="false" outlineLevel="0" collapsed="false">
      <c r="A49" s="3" t="n">
        <v>48</v>
      </c>
      <c r="B49" s="3" t="s">
        <v>167</v>
      </c>
      <c r="C49" s="13" t="s">
        <v>168</v>
      </c>
      <c r="D49" s="6" t="s">
        <v>169</v>
      </c>
      <c r="E49" s="6" t="s">
        <v>170</v>
      </c>
      <c r="F49" s="6" t="s">
        <v>171</v>
      </c>
      <c r="G49" s="7" t="n">
        <v>24000</v>
      </c>
      <c r="H49" s="3" t="n">
        <v>3</v>
      </c>
      <c r="I49" s="7" t="n">
        <v>680</v>
      </c>
      <c r="J49" s="8" t="s">
        <v>18</v>
      </c>
      <c r="K49" s="3" t="s">
        <v>172</v>
      </c>
      <c r="L49" s="9" t="n">
        <v>46148</v>
      </c>
      <c r="M49" s="10" t="s">
        <v>20</v>
      </c>
    </row>
    <row r="50" customFormat="false" ht="15" hidden="false" customHeight="false" outlineLevel="0" collapsed="false">
      <c r="A50" s="3" t="n">
        <v>49</v>
      </c>
      <c r="B50" s="3" t="s">
        <v>167</v>
      </c>
      <c r="C50" s="13" t="s">
        <v>168</v>
      </c>
      <c r="D50" s="6" t="s">
        <v>173</v>
      </c>
      <c r="E50" s="6" t="s">
        <v>174</v>
      </c>
      <c r="F50" s="5" t="s">
        <v>175</v>
      </c>
      <c r="G50" s="7" t="n">
        <v>18000</v>
      </c>
      <c r="H50" s="3" t="n">
        <v>3</v>
      </c>
      <c r="I50" s="7" t="n">
        <v>610</v>
      </c>
      <c r="J50" s="11" t="s">
        <v>27</v>
      </c>
      <c r="K50" s="3" t="s">
        <v>172</v>
      </c>
      <c r="L50" s="9" t="n">
        <v>46162</v>
      </c>
      <c r="M50" s="10" t="s">
        <v>20</v>
      </c>
    </row>
    <row r="51" customFormat="false" ht="15" hidden="false" customHeight="false" outlineLevel="0" collapsed="false">
      <c r="A51" s="3" t="n">
        <v>50</v>
      </c>
      <c r="B51" s="3" t="s">
        <v>167</v>
      </c>
      <c r="C51" s="13" t="s">
        <v>168</v>
      </c>
      <c r="D51" s="6" t="s">
        <v>176</v>
      </c>
      <c r="E51" s="6" t="s">
        <v>177</v>
      </c>
      <c r="F51" s="6" t="s">
        <v>178</v>
      </c>
      <c r="G51" s="7" t="n">
        <v>13000</v>
      </c>
      <c r="H51" s="3" t="n">
        <v>3</v>
      </c>
      <c r="I51" s="7" t="n">
        <v>590</v>
      </c>
      <c r="J51" s="11" t="s">
        <v>27</v>
      </c>
      <c r="K51" s="3" t="s">
        <v>172</v>
      </c>
      <c r="L51" s="9" t="n">
        <v>46175</v>
      </c>
      <c r="M51" s="10" t="s">
        <v>20</v>
      </c>
    </row>
    <row r="52" customFormat="false" ht="15" hidden="false" customHeight="false" outlineLevel="0" collapsed="false">
      <c r="A52" s="3" t="n">
        <v>51</v>
      </c>
      <c r="B52" s="3" t="s">
        <v>167</v>
      </c>
      <c r="C52" s="13" t="s">
        <v>168</v>
      </c>
      <c r="D52" s="6" t="s">
        <v>179</v>
      </c>
      <c r="E52" s="6" t="s">
        <v>180</v>
      </c>
      <c r="F52" s="6" t="s">
        <v>181</v>
      </c>
      <c r="G52" s="7" t="n">
        <v>11000</v>
      </c>
      <c r="H52" s="3" t="n">
        <v>2</v>
      </c>
      <c r="I52" s="7" t="n">
        <v>540</v>
      </c>
      <c r="J52" s="12" t="s">
        <v>49</v>
      </c>
      <c r="K52" s="3" t="s">
        <v>172</v>
      </c>
      <c r="L52" s="9" t="n">
        <v>46184</v>
      </c>
      <c r="M52" s="10" t="s">
        <v>20</v>
      </c>
    </row>
    <row r="53" customFormat="false" ht="15" hidden="false" customHeight="false" outlineLevel="0" collapsed="false">
      <c r="A53" s="3" t="n">
        <v>52</v>
      </c>
      <c r="B53" s="3" t="s">
        <v>167</v>
      </c>
      <c r="C53" s="13" t="s">
        <v>168</v>
      </c>
      <c r="D53" s="6" t="s">
        <v>182</v>
      </c>
      <c r="E53" s="6" t="s">
        <v>183</v>
      </c>
      <c r="F53" s="6" t="s">
        <v>184</v>
      </c>
      <c r="G53" s="7" t="n">
        <v>22000</v>
      </c>
      <c r="H53" s="3" t="n">
        <v>2</v>
      </c>
      <c r="I53" s="7" t="n">
        <v>780</v>
      </c>
      <c r="J53" s="8" t="s">
        <v>18</v>
      </c>
      <c r="K53" s="3" t="s">
        <v>172</v>
      </c>
      <c r="L53" s="9" t="n">
        <v>46152</v>
      </c>
      <c r="M53" s="10" t="s">
        <v>20</v>
      </c>
    </row>
    <row r="54" customFormat="false" ht="15" hidden="false" customHeight="false" outlineLevel="0" collapsed="false">
      <c r="A54" s="3" t="n">
        <v>53</v>
      </c>
      <c r="B54" s="3" t="s">
        <v>167</v>
      </c>
      <c r="C54" s="13" t="s">
        <v>168</v>
      </c>
      <c r="D54" s="6" t="s">
        <v>185</v>
      </c>
      <c r="E54" s="6" t="s">
        <v>186</v>
      </c>
      <c r="F54" s="6" t="s">
        <v>187</v>
      </c>
      <c r="G54" s="7" t="n">
        <v>19000</v>
      </c>
      <c r="H54" s="3" t="n">
        <v>2</v>
      </c>
      <c r="I54" s="7" t="n">
        <v>820</v>
      </c>
      <c r="J54" s="8" t="s">
        <v>18</v>
      </c>
      <c r="K54" s="3" t="s">
        <v>172</v>
      </c>
      <c r="L54" s="9" t="n">
        <v>46156</v>
      </c>
      <c r="M54" s="10" t="s">
        <v>20</v>
      </c>
    </row>
    <row r="55" customFormat="false" ht="15" hidden="false" customHeight="false" outlineLevel="0" collapsed="false">
      <c r="A55" s="3" t="n">
        <v>54</v>
      </c>
      <c r="B55" s="3" t="s">
        <v>167</v>
      </c>
      <c r="C55" s="13" t="s">
        <v>168</v>
      </c>
      <c r="D55" s="6" t="s">
        <v>188</v>
      </c>
      <c r="E55" s="6" t="s">
        <v>189</v>
      </c>
      <c r="F55" s="6" t="s">
        <v>190</v>
      </c>
      <c r="G55" s="7" t="n">
        <v>14500</v>
      </c>
      <c r="H55" s="3" t="n">
        <v>2</v>
      </c>
      <c r="I55" s="7" t="n">
        <v>660</v>
      </c>
      <c r="J55" s="11" t="s">
        <v>27</v>
      </c>
      <c r="K55" s="3" t="s">
        <v>172</v>
      </c>
      <c r="L55" s="9" t="n">
        <v>46170</v>
      </c>
      <c r="M55" s="10" t="s">
        <v>20</v>
      </c>
    </row>
    <row r="56" customFormat="false" ht="15" hidden="false" customHeight="false" outlineLevel="0" collapsed="false">
      <c r="A56" s="3" t="n">
        <v>55</v>
      </c>
      <c r="B56" s="3" t="s">
        <v>167</v>
      </c>
      <c r="C56" s="13" t="s">
        <v>168</v>
      </c>
      <c r="D56" s="6" t="s">
        <v>191</v>
      </c>
      <c r="E56" s="6" t="s">
        <v>192</v>
      </c>
      <c r="F56" s="5" t="s">
        <v>193</v>
      </c>
      <c r="G56" s="7" t="n">
        <v>26000</v>
      </c>
      <c r="H56" s="3" t="n">
        <v>3</v>
      </c>
      <c r="I56" s="7" t="n">
        <v>920</v>
      </c>
      <c r="J56" s="8" t="s">
        <v>18</v>
      </c>
      <c r="K56" s="3" t="s">
        <v>172</v>
      </c>
      <c r="L56" s="9" t="n">
        <v>46147</v>
      </c>
      <c r="M56" s="10" t="s">
        <v>20</v>
      </c>
    </row>
    <row r="57" customFormat="false" ht="15" hidden="false" customHeight="false" outlineLevel="0" collapsed="false">
      <c r="A57" s="3" t="n">
        <v>56</v>
      </c>
      <c r="B57" s="3" t="s">
        <v>167</v>
      </c>
      <c r="C57" s="13" t="s">
        <v>168</v>
      </c>
      <c r="D57" s="6" t="s">
        <v>194</v>
      </c>
      <c r="E57" s="6" t="s">
        <v>195</v>
      </c>
      <c r="F57" s="6" t="s">
        <v>196</v>
      </c>
      <c r="G57" s="7" t="n">
        <v>20000</v>
      </c>
      <c r="H57" s="3" t="n">
        <v>2</v>
      </c>
      <c r="I57" s="7" t="n">
        <v>520</v>
      </c>
      <c r="J57" s="8" t="s">
        <v>18</v>
      </c>
      <c r="K57" s="3" t="s">
        <v>172</v>
      </c>
      <c r="L57" s="9" t="n">
        <v>46155</v>
      </c>
      <c r="M57" s="10" t="s">
        <v>20</v>
      </c>
    </row>
    <row r="58" customFormat="false" ht="15" hidden="false" customHeight="false" outlineLevel="0" collapsed="false">
      <c r="A58" s="3" t="n">
        <v>57</v>
      </c>
      <c r="B58" s="3" t="s">
        <v>167</v>
      </c>
      <c r="C58" s="13" t="s">
        <v>168</v>
      </c>
      <c r="D58" s="6" t="s">
        <v>197</v>
      </c>
      <c r="E58" s="6" t="s">
        <v>198</v>
      </c>
      <c r="F58" s="6" t="s">
        <v>199</v>
      </c>
      <c r="G58" s="7" t="n">
        <v>15000</v>
      </c>
      <c r="H58" s="3" t="n">
        <v>2</v>
      </c>
      <c r="I58" s="7" t="n">
        <v>480</v>
      </c>
      <c r="J58" s="11" t="s">
        <v>27</v>
      </c>
      <c r="K58" s="3" t="s">
        <v>172</v>
      </c>
      <c r="L58" s="9" t="n">
        <v>46169</v>
      </c>
      <c r="M58" s="10" t="s">
        <v>20</v>
      </c>
    </row>
    <row r="59" customFormat="false" ht="15" hidden="false" customHeight="false" outlineLevel="0" collapsed="false">
      <c r="A59" s="3" t="n">
        <v>58</v>
      </c>
      <c r="B59" s="3" t="s">
        <v>167</v>
      </c>
      <c r="C59" s="13" t="s">
        <v>168</v>
      </c>
      <c r="D59" s="6" t="s">
        <v>200</v>
      </c>
      <c r="E59" s="6" t="s">
        <v>201</v>
      </c>
      <c r="F59" s="6" t="s">
        <v>202</v>
      </c>
      <c r="G59" s="7" t="n">
        <v>11500</v>
      </c>
      <c r="H59" s="3" t="n">
        <v>3</v>
      </c>
      <c r="I59" s="7" t="n">
        <v>620</v>
      </c>
      <c r="J59" s="11" t="s">
        <v>27</v>
      </c>
      <c r="K59" s="3" t="s">
        <v>172</v>
      </c>
      <c r="L59" s="9" t="n">
        <v>46180</v>
      </c>
      <c r="M59" s="10" t="s">
        <v>20</v>
      </c>
    </row>
    <row r="60" customFormat="false" ht="15" hidden="false" customHeight="false" outlineLevel="0" collapsed="false">
      <c r="A60" s="3" t="n">
        <v>59</v>
      </c>
      <c r="B60" s="3" t="s">
        <v>167</v>
      </c>
      <c r="C60" s="13" t="s">
        <v>168</v>
      </c>
      <c r="D60" s="6" t="s">
        <v>203</v>
      </c>
      <c r="E60" s="6" t="s">
        <v>204</v>
      </c>
      <c r="F60" s="6" t="s">
        <v>205</v>
      </c>
      <c r="G60" s="7" t="n">
        <v>17000</v>
      </c>
      <c r="H60" s="3" t="n">
        <v>2</v>
      </c>
      <c r="I60" s="7" t="n">
        <v>460</v>
      </c>
      <c r="J60" s="11" t="s">
        <v>27</v>
      </c>
      <c r="K60" s="3" t="s">
        <v>172</v>
      </c>
      <c r="L60" s="9" t="n">
        <v>46164</v>
      </c>
      <c r="M60" s="10" t="s">
        <v>20</v>
      </c>
    </row>
    <row r="61" customFormat="false" ht="15" hidden="false" customHeight="false" outlineLevel="0" collapsed="false">
      <c r="A61" s="3" t="n">
        <v>60</v>
      </c>
      <c r="B61" s="3" t="s">
        <v>206</v>
      </c>
      <c r="C61" s="13" t="s">
        <v>207</v>
      </c>
      <c r="D61" s="6" t="s">
        <v>208</v>
      </c>
      <c r="E61" s="6" t="s">
        <v>209</v>
      </c>
      <c r="F61" s="6" t="s">
        <v>210</v>
      </c>
      <c r="G61" s="7" t="n">
        <v>23000</v>
      </c>
      <c r="H61" s="3" t="n">
        <v>2</v>
      </c>
      <c r="I61" s="7" t="n">
        <v>540</v>
      </c>
      <c r="J61" s="8" t="s">
        <v>18</v>
      </c>
      <c r="K61" s="3" t="s">
        <v>172</v>
      </c>
      <c r="L61" s="9" t="n">
        <v>46150</v>
      </c>
      <c r="M61" s="10" t="s">
        <v>20</v>
      </c>
    </row>
    <row r="62" customFormat="false" ht="15" hidden="false" customHeight="false" outlineLevel="0" collapsed="false">
      <c r="A62" s="3" t="n">
        <v>61</v>
      </c>
      <c r="B62" s="3" t="s">
        <v>206</v>
      </c>
      <c r="C62" s="13" t="s">
        <v>207</v>
      </c>
      <c r="D62" s="6" t="s">
        <v>211</v>
      </c>
      <c r="E62" s="6" t="s">
        <v>212</v>
      </c>
      <c r="F62" s="6" t="s">
        <v>213</v>
      </c>
      <c r="G62" s="7" t="n">
        <v>18000</v>
      </c>
      <c r="H62" s="3" t="n">
        <v>2</v>
      </c>
      <c r="I62" s="7" t="n">
        <v>510</v>
      </c>
      <c r="J62" s="11" t="s">
        <v>27</v>
      </c>
      <c r="K62" s="3" t="s">
        <v>172</v>
      </c>
      <c r="L62" s="9" t="n">
        <v>46162</v>
      </c>
      <c r="M62" s="10" t="s">
        <v>20</v>
      </c>
    </row>
    <row r="63" customFormat="false" ht="15" hidden="false" customHeight="false" outlineLevel="0" collapsed="false">
      <c r="A63" s="3" t="n">
        <v>62</v>
      </c>
      <c r="B63" s="3" t="s">
        <v>206</v>
      </c>
      <c r="C63" s="13" t="s">
        <v>207</v>
      </c>
      <c r="D63" s="6" t="s">
        <v>214</v>
      </c>
      <c r="E63" s="6" t="s">
        <v>215</v>
      </c>
      <c r="F63" s="6" t="s">
        <v>216</v>
      </c>
      <c r="G63" s="7" t="n">
        <v>27000</v>
      </c>
      <c r="H63" s="3" t="n">
        <v>3</v>
      </c>
      <c r="I63" s="7" t="n">
        <v>760</v>
      </c>
      <c r="J63" s="8" t="s">
        <v>18</v>
      </c>
      <c r="K63" s="3" t="s">
        <v>172</v>
      </c>
      <c r="L63" s="9" t="n">
        <v>46145</v>
      </c>
      <c r="M63" s="10" t="s">
        <v>20</v>
      </c>
    </row>
    <row r="64" customFormat="false" ht="15" hidden="false" customHeight="false" outlineLevel="0" collapsed="false">
      <c r="A64" s="3" t="n">
        <v>63</v>
      </c>
      <c r="B64" s="3" t="s">
        <v>206</v>
      </c>
      <c r="C64" s="13" t="s">
        <v>207</v>
      </c>
      <c r="D64" s="6" t="s">
        <v>217</v>
      </c>
      <c r="E64" s="6" t="s">
        <v>218</v>
      </c>
      <c r="F64" s="6" t="s">
        <v>219</v>
      </c>
      <c r="G64" s="7" t="n">
        <v>24000</v>
      </c>
      <c r="H64" s="3" t="n">
        <v>3</v>
      </c>
      <c r="I64" s="7" t="n">
        <v>820</v>
      </c>
      <c r="J64" s="8" t="s">
        <v>18</v>
      </c>
      <c r="K64" s="3" t="s">
        <v>172</v>
      </c>
      <c r="L64" s="9" t="n">
        <v>46149</v>
      </c>
      <c r="M64" s="10" t="s">
        <v>20</v>
      </c>
    </row>
    <row r="65" customFormat="false" ht="15" hidden="false" customHeight="false" outlineLevel="0" collapsed="false">
      <c r="A65" s="3" t="n">
        <v>64</v>
      </c>
      <c r="B65" s="3" t="s">
        <v>206</v>
      </c>
      <c r="C65" s="13" t="s">
        <v>207</v>
      </c>
      <c r="D65" s="6" t="s">
        <v>220</v>
      </c>
      <c r="E65" s="6" t="s">
        <v>221</v>
      </c>
      <c r="F65" s="6" t="s">
        <v>222</v>
      </c>
      <c r="G65" s="7" t="n">
        <v>15000</v>
      </c>
      <c r="H65" s="3" t="n">
        <v>3</v>
      </c>
      <c r="I65" s="7" t="n">
        <v>740</v>
      </c>
      <c r="J65" s="11" t="s">
        <v>27</v>
      </c>
      <c r="K65" s="3" t="s">
        <v>172</v>
      </c>
      <c r="L65" s="9" t="n">
        <v>46169</v>
      </c>
      <c r="M65" s="10" t="s">
        <v>20</v>
      </c>
    </row>
    <row r="66" customFormat="false" ht="15" hidden="false" customHeight="false" outlineLevel="0" collapsed="false">
      <c r="A66" s="3" t="n">
        <v>65</v>
      </c>
      <c r="B66" s="3" t="s">
        <v>206</v>
      </c>
      <c r="C66" s="13" t="s">
        <v>207</v>
      </c>
      <c r="D66" s="6" t="s">
        <v>223</v>
      </c>
      <c r="E66" s="6" t="s">
        <v>224</v>
      </c>
      <c r="F66" s="6" t="s">
        <v>225</v>
      </c>
      <c r="G66" s="7" t="n">
        <v>19500</v>
      </c>
      <c r="H66" s="3" t="n">
        <v>3</v>
      </c>
      <c r="I66" s="7" t="n">
        <v>880</v>
      </c>
      <c r="J66" s="8" t="s">
        <v>18</v>
      </c>
      <c r="K66" s="3" t="s">
        <v>172</v>
      </c>
      <c r="L66" s="9" t="n">
        <v>46156</v>
      </c>
      <c r="M66" s="10" t="s">
        <v>20</v>
      </c>
    </row>
    <row r="67" customFormat="false" ht="15" hidden="false" customHeight="false" outlineLevel="0" collapsed="false">
      <c r="A67" s="3" t="n">
        <v>66</v>
      </c>
      <c r="B67" s="3" t="s">
        <v>206</v>
      </c>
      <c r="C67" s="13" t="s">
        <v>207</v>
      </c>
      <c r="D67" s="6" t="s">
        <v>226</v>
      </c>
      <c r="E67" s="6" t="s">
        <v>227</v>
      </c>
      <c r="F67" s="6" t="s">
        <v>228</v>
      </c>
      <c r="G67" s="7" t="n">
        <v>16000</v>
      </c>
      <c r="H67" s="3" t="n">
        <v>3</v>
      </c>
      <c r="I67" s="7" t="n">
        <v>910</v>
      </c>
      <c r="J67" s="11" t="s">
        <v>27</v>
      </c>
      <c r="K67" s="3" t="s">
        <v>172</v>
      </c>
      <c r="L67" s="9" t="n">
        <v>46167</v>
      </c>
      <c r="M67" s="10" t="s">
        <v>20</v>
      </c>
    </row>
    <row r="68" customFormat="false" ht="15" hidden="false" customHeight="false" outlineLevel="0" collapsed="false">
      <c r="A68" s="3" t="n">
        <v>67</v>
      </c>
      <c r="B68" s="3" t="s">
        <v>206</v>
      </c>
      <c r="C68" s="13" t="s">
        <v>207</v>
      </c>
      <c r="D68" s="6" t="s">
        <v>229</v>
      </c>
      <c r="E68" s="6" t="s">
        <v>230</v>
      </c>
      <c r="F68" s="6" t="s">
        <v>231</v>
      </c>
      <c r="G68" s="7" t="n">
        <v>21000</v>
      </c>
      <c r="H68" s="3" t="n">
        <v>3</v>
      </c>
      <c r="I68" s="7" t="n">
        <v>950</v>
      </c>
      <c r="J68" s="8" t="s">
        <v>18</v>
      </c>
      <c r="K68" s="3" t="s">
        <v>172</v>
      </c>
      <c r="L68" s="9" t="n">
        <v>46153</v>
      </c>
      <c r="M68" s="10" t="s">
        <v>20</v>
      </c>
    </row>
    <row r="69" customFormat="false" ht="15" hidden="false" customHeight="false" outlineLevel="0" collapsed="false">
      <c r="A69" s="3" t="n">
        <v>68</v>
      </c>
      <c r="B69" s="3" t="s">
        <v>206</v>
      </c>
      <c r="C69" s="13" t="s">
        <v>207</v>
      </c>
      <c r="D69" s="6" t="s">
        <v>232</v>
      </c>
      <c r="E69" s="6" t="s">
        <v>233</v>
      </c>
      <c r="F69" s="6" t="s">
        <v>234</v>
      </c>
      <c r="G69" s="7" t="n">
        <v>13500</v>
      </c>
      <c r="H69" s="3" t="n">
        <v>3</v>
      </c>
      <c r="I69" s="7" t="n">
        <v>680</v>
      </c>
      <c r="J69" s="11" t="s">
        <v>27</v>
      </c>
      <c r="K69" s="3" t="s">
        <v>172</v>
      </c>
      <c r="L69" s="9" t="n">
        <v>46174</v>
      </c>
      <c r="M69" s="10" t="s">
        <v>20</v>
      </c>
    </row>
    <row r="70" customFormat="false" ht="15" hidden="false" customHeight="false" outlineLevel="0" collapsed="false">
      <c r="A70" s="3" t="n">
        <v>69</v>
      </c>
      <c r="B70" s="3" t="s">
        <v>206</v>
      </c>
      <c r="C70" s="13" t="s">
        <v>207</v>
      </c>
      <c r="D70" s="6" t="s">
        <v>235</v>
      </c>
      <c r="E70" s="6" t="s">
        <v>236</v>
      </c>
      <c r="F70" s="6" t="s">
        <v>237</v>
      </c>
      <c r="G70" s="7" t="n">
        <v>10500</v>
      </c>
      <c r="H70" s="3" t="n">
        <v>3</v>
      </c>
      <c r="I70" s="7" t="n">
        <v>820</v>
      </c>
      <c r="J70" s="12" t="s">
        <v>49</v>
      </c>
      <c r="K70" s="3" t="s">
        <v>172</v>
      </c>
      <c r="L70" s="9" t="n">
        <v>46186</v>
      </c>
      <c r="M70" s="10" t="s">
        <v>20</v>
      </c>
    </row>
    <row r="71" customFormat="false" ht="15" hidden="false" customHeight="false" outlineLevel="0" collapsed="false">
      <c r="A71" s="3" t="n">
        <v>70</v>
      </c>
      <c r="B71" s="3" t="s">
        <v>238</v>
      </c>
      <c r="C71" s="13" t="s">
        <v>239</v>
      </c>
      <c r="D71" s="5" t="s">
        <v>240</v>
      </c>
      <c r="E71" s="5" t="s">
        <v>241</v>
      </c>
      <c r="F71" s="6" t="s">
        <v>242</v>
      </c>
      <c r="G71" s="7" t="n">
        <v>17000</v>
      </c>
      <c r="H71" s="3" t="n">
        <v>3</v>
      </c>
      <c r="I71" s="7" t="n">
        <v>980</v>
      </c>
      <c r="J71" s="8" t="s">
        <v>18</v>
      </c>
      <c r="K71" s="3" t="s">
        <v>172</v>
      </c>
      <c r="L71" s="9" t="n">
        <v>46158</v>
      </c>
      <c r="M71" s="10" t="s">
        <v>20</v>
      </c>
    </row>
    <row r="72" customFormat="false" ht="15" hidden="false" customHeight="false" outlineLevel="0" collapsed="false">
      <c r="A72" s="3" t="n">
        <v>71</v>
      </c>
      <c r="B72" s="3" t="s">
        <v>238</v>
      </c>
      <c r="C72" s="13" t="s">
        <v>239</v>
      </c>
      <c r="D72" s="6" t="s">
        <v>243</v>
      </c>
      <c r="E72" s="6" t="s">
        <v>244</v>
      </c>
      <c r="F72" s="6" t="s">
        <v>245</v>
      </c>
      <c r="G72" s="7" t="n">
        <v>14000</v>
      </c>
      <c r="H72" s="3" t="n">
        <v>2</v>
      </c>
      <c r="I72" s="7" t="n">
        <v>840</v>
      </c>
      <c r="J72" s="8" t="s">
        <v>18</v>
      </c>
      <c r="K72" s="3" t="s">
        <v>172</v>
      </c>
      <c r="L72" s="9" t="n">
        <v>46160</v>
      </c>
      <c r="M72" s="10" t="s">
        <v>20</v>
      </c>
    </row>
    <row r="73" customFormat="false" ht="15" hidden="false" customHeight="false" outlineLevel="0" collapsed="false">
      <c r="A73" s="3" t="n">
        <v>72</v>
      </c>
      <c r="B73" s="3" t="s">
        <v>238</v>
      </c>
      <c r="C73" s="13" t="s">
        <v>239</v>
      </c>
      <c r="D73" s="5" t="s">
        <v>246</v>
      </c>
      <c r="E73" s="5" t="s">
        <v>247</v>
      </c>
      <c r="F73" s="6" t="s">
        <v>248</v>
      </c>
      <c r="G73" s="7" t="n">
        <v>10000</v>
      </c>
      <c r="H73" s="3" t="n">
        <v>4</v>
      </c>
      <c r="I73" s="7" t="n">
        <v>760</v>
      </c>
      <c r="J73" s="12" t="s">
        <v>49</v>
      </c>
      <c r="K73" s="3" t="s">
        <v>172</v>
      </c>
      <c r="L73" s="9" t="n">
        <v>46187</v>
      </c>
      <c r="M73" s="10" t="s">
        <v>20</v>
      </c>
    </row>
    <row r="74" customFormat="false" ht="15" hidden="false" customHeight="false" outlineLevel="0" collapsed="false">
      <c r="A74" s="3" t="n">
        <v>73</v>
      </c>
      <c r="B74" s="3" t="s">
        <v>238</v>
      </c>
      <c r="C74" s="13" t="s">
        <v>239</v>
      </c>
      <c r="D74" s="6" t="s">
        <v>249</v>
      </c>
      <c r="E74" s="6" t="s">
        <v>250</v>
      </c>
      <c r="F74" s="6" t="s">
        <v>251</v>
      </c>
      <c r="G74" s="7" t="n">
        <v>9500</v>
      </c>
      <c r="H74" s="3" t="n">
        <v>3</v>
      </c>
      <c r="I74" s="7" t="n">
        <v>820</v>
      </c>
      <c r="J74" s="12" t="s">
        <v>49</v>
      </c>
      <c r="K74" s="3" t="s">
        <v>172</v>
      </c>
      <c r="L74" s="9" t="n">
        <v>46188</v>
      </c>
      <c r="M74" s="10" t="s">
        <v>20</v>
      </c>
    </row>
    <row r="75" customFormat="false" ht="15" hidden="false" customHeight="false" outlineLevel="0" collapsed="false">
      <c r="A75" s="3" t="n">
        <v>74</v>
      </c>
      <c r="B75" s="3" t="s">
        <v>238</v>
      </c>
      <c r="C75" s="13" t="s">
        <v>239</v>
      </c>
      <c r="D75" s="6" t="s">
        <v>252</v>
      </c>
      <c r="E75" s="6" t="s">
        <v>253</v>
      </c>
      <c r="F75" s="6" t="s">
        <v>254</v>
      </c>
      <c r="G75" s="7" t="n">
        <v>12000</v>
      </c>
      <c r="H75" s="3" t="n">
        <v>3</v>
      </c>
      <c r="I75" s="7" t="n">
        <v>710</v>
      </c>
      <c r="J75" s="11" t="s">
        <v>27</v>
      </c>
      <c r="K75" s="3" t="s">
        <v>172</v>
      </c>
      <c r="L75" s="9" t="n">
        <v>46179</v>
      </c>
      <c r="M75" s="10" t="s">
        <v>20</v>
      </c>
    </row>
    <row r="76" customFormat="false" ht="15" hidden="false" customHeight="false" outlineLevel="0" collapsed="false">
      <c r="A76" s="3" t="n">
        <v>75</v>
      </c>
      <c r="B76" s="3" t="s">
        <v>238</v>
      </c>
      <c r="C76" s="13" t="s">
        <v>239</v>
      </c>
      <c r="D76" s="6" t="s">
        <v>255</v>
      </c>
      <c r="E76" s="6" t="s">
        <v>256</v>
      </c>
      <c r="F76" s="6" t="s">
        <v>257</v>
      </c>
      <c r="G76" s="7" t="n">
        <v>19000</v>
      </c>
      <c r="H76" s="3" t="n">
        <v>3</v>
      </c>
      <c r="I76" s="7" t="n">
        <v>1100</v>
      </c>
      <c r="J76" s="8" t="s">
        <v>18</v>
      </c>
      <c r="K76" s="3" t="s">
        <v>172</v>
      </c>
      <c r="L76" s="9" t="n">
        <v>46157</v>
      </c>
      <c r="M76" s="10" t="s">
        <v>20</v>
      </c>
    </row>
    <row r="77" customFormat="false" ht="15" hidden="false" customHeight="false" outlineLevel="0" collapsed="false">
      <c r="A77" s="3" t="n">
        <v>76</v>
      </c>
      <c r="B77" s="3" t="s">
        <v>238</v>
      </c>
      <c r="C77" s="13" t="s">
        <v>239</v>
      </c>
      <c r="D77" s="6" t="s">
        <v>258</v>
      </c>
      <c r="E77" s="6" t="s">
        <v>259</v>
      </c>
      <c r="F77" s="6" t="s">
        <v>260</v>
      </c>
      <c r="G77" s="7" t="n">
        <v>13000</v>
      </c>
      <c r="H77" s="3" t="n">
        <v>3</v>
      </c>
      <c r="I77" s="7" t="n">
        <v>920</v>
      </c>
      <c r="J77" s="11" t="s">
        <v>27</v>
      </c>
      <c r="K77" s="3" t="s">
        <v>172</v>
      </c>
      <c r="L77" s="9" t="n">
        <v>46176</v>
      </c>
      <c r="M77" s="10" t="s">
        <v>20</v>
      </c>
    </row>
    <row r="78" customFormat="false" ht="15" hidden="false" customHeight="false" outlineLevel="0" collapsed="false">
      <c r="A78" s="3" t="n">
        <v>77</v>
      </c>
      <c r="B78" s="3" t="s">
        <v>238</v>
      </c>
      <c r="C78" s="13" t="s">
        <v>239</v>
      </c>
      <c r="D78" s="6" t="s">
        <v>261</v>
      </c>
      <c r="E78" s="6" t="s">
        <v>262</v>
      </c>
      <c r="F78" s="6" t="s">
        <v>263</v>
      </c>
      <c r="G78" s="7" t="n">
        <v>15500</v>
      </c>
      <c r="H78" s="3" t="n">
        <v>2</v>
      </c>
      <c r="I78" s="7" t="n">
        <v>780</v>
      </c>
      <c r="J78" s="11" t="s">
        <v>27</v>
      </c>
      <c r="K78" s="3" t="s">
        <v>172</v>
      </c>
      <c r="L78" s="9" t="n">
        <v>46167</v>
      </c>
      <c r="M78" s="10" t="s">
        <v>20</v>
      </c>
    </row>
    <row r="79" customFormat="false" ht="15" hidden="false" customHeight="false" outlineLevel="0" collapsed="false">
      <c r="A79" s="3" t="n">
        <v>78</v>
      </c>
      <c r="B79" s="3" t="s">
        <v>264</v>
      </c>
      <c r="C79" s="14" t="s">
        <v>265</v>
      </c>
      <c r="D79" s="6" t="s">
        <v>266</v>
      </c>
      <c r="E79" s="6" t="s">
        <v>267</v>
      </c>
      <c r="F79" s="6" t="s">
        <v>268</v>
      </c>
      <c r="G79" s="7" t="n">
        <v>22000</v>
      </c>
      <c r="H79" s="3" t="n">
        <v>2</v>
      </c>
      <c r="I79" s="7" t="n">
        <v>680</v>
      </c>
      <c r="J79" s="8" t="s">
        <v>18</v>
      </c>
      <c r="K79" s="3" t="s">
        <v>269</v>
      </c>
      <c r="L79" s="9" t="n">
        <v>46152</v>
      </c>
      <c r="M79" s="10" t="s">
        <v>20</v>
      </c>
    </row>
    <row r="80" customFormat="false" ht="15" hidden="false" customHeight="false" outlineLevel="0" collapsed="false">
      <c r="A80" s="3" t="n">
        <v>79</v>
      </c>
      <c r="B80" s="3" t="s">
        <v>264</v>
      </c>
      <c r="C80" s="14" t="s">
        <v>265</v>
      </c>
      <c r="D80" s="6" t="s">
        <v>270</v>
      </c>
      <c r="E80" s="6" t="s">
        <v>271</v>
      </c>
      <c r="F80" s="6" t="s">
        <v>272</v>
      </c>
      <c r="G80" s="7" t="n">
        <v>26000</v>
      </c>
      <c r="H80" s="3" t="n">
        <v>2</v>
      </c>
      <c r="I80" s="7" t="n">
        <v>720</v>
      </c>
      <c r="J80" s="8" t="s">
        <v>18</v>
      </c>
      <c r="K80" s="3" t="s">
        <v>269</v>
      </c>
      <c r="L80" s="9" t="n">
        <v>46147</v>
      </c>
      <c r="M80" s="10" t="s">
        <v>20</v>
      </c>
    </row>
    <row r="81" customFormat="false" ht="15" hidden="false" customHeight="false" outlineLevel="0" collapsed="false">
      <c r="A81" s="3" t="n">
        <v>80</v>
      </c>
      <c r="B81" s="3" t="s">
        <v>264</v>
      </c>
      <c r="C81" s="14" t="s">
        <v>265</v>
      </c>
      <c r="D81" s="6" t="s">
        <v>273</v>
      </c>
      <c r="E81" s="6" t="s">
        <v>274</v>
      </c>
      <c r="F81" s="6" t="s">
        <v>275</v>
      </c>
      <c r="G81" s="7" t="n">
        <v>18000</v>
      </c>
      <c r="H81" s="3" t="n">
        <v>3</v>
      </c>
      <c r="I81" s="7" t="n">
        <v>1050</v>
      </c>
      <c r="J81" s="8" t="s">
        <v>18</v>
      </c>
      <c r="K81" s="3" t="s">
        <v>269</v>
      </c>
      <c r="L81" s="9" t="n">
        <v>46158</v>
      </c>
      <c r="M81" s="10" t="s">
        <v>20</v>
      </c>
    </row>
    <row r="82" customFormat="false" ht="15" hidden="false" customHeight="false" outlineLevel="0" collapsed="false">
      <c r="A82" s="3" t="n">
        <v>81</v>
      </c>
      <c r="B82" s="3" t="s">
        <v>264</v>
      </c>
      <c r="C82" s="14" t="s">
        <v>265</v>
      </c>
      <c r="D82" s="6" t="s">
        <v>276</v>
      </c>
      <c r="E82" s="6" t="s">
        <v>277</v>
      </c>
      <c r="F82" s="6" t="s">
        <v>278</v>
      </c>
      <c r="G82" s="7" t="n">
        <v>21000</v>
      </c>
      <c r="H82" s="3" t="n">
        <v>3</v>
      </c>
      <c r="I82" s="7" t="n">
        <v>980</v>
      </c>
      <c r="J82" s="8" t="s">
        <v>18</v>
      </c>
      <c r="K82" s="3" t="s">
        <v>269</v>
      </c>
      <c r="L82" s="9" t="n">
        <v>46154</v>
      </c>
      <c r="M82" s="10" t="s">
        <v>20</v>
      </c>
    </row>
    <row r="83" customFormat="false" ht="15" hidden="false" customHeight="false" outlineLevel="0" collapsed="false">
      <c r="A83" s="3" t="n">
        <v>82</v>
      </c>
      <c r="B83" s="3" t="s">
        <v>264</v>
      </c>
      <c r="C83" s="14" t="s">
        <v>265</v>
      </c>
      <c r="D83" s="6" t="s">
        <v>279</v>
      </c>
      <c r="E83" s="6" t="s">
        <v>280</v>
      </c>
      <c r="F83" s="6" t="s">
        <v>281</v>
      </c>
      <c r="G83" s="7" t="n">
        <v>24000</v>
      </c>
      <c r="H83" s="3" t="n">
        <v>3</v>
      </c>
      <c r="I83" s="7" t="n">
        <v>890</v>
      </c>
      <c r="J83" s="8" t="s">
        <v>18</v>
      </c>
      <c r="K83" s="3" t="s">
        <v>269</v>
      </c>
      <c r="L83" s="9" t="n">
        <v>46149</v>
      </c>
      <c r="M83" s="10" t="s">
        <v>20</v>
      </c>
    </row>
    <row r="84" customFormat="false" ht="15" hidden="false" customHeight="false" outlineLevel="0" collapsed="false">
      <c r="A84" s="3" t="n">
        <v>83</v>
      </c>
      <c r="B84" s="3" t="s">
        <v>264</v>
      </c>
      <c r="C84" s="14" t="s">
        <v>265</v>
      </c>
      <c r="D84" s="6" t="s">
        <v>282</v>
      </c>
      <c r="E84" s="6" t="s">
        <v>283</v>
      </c>
      <c r="F84" s="6" t="s">
        <v>284</v>
      </c>
      <c r="G84" s="7" t="n">
        <v>28000</v>
      </c>
      <c r="H84" s="3" t="n">
        <v>3</v>
      </c>
      <c r="I84" s="7" t="n">
        <v>870</v>
      </c>
      <c r="J84" s="8" t="s">
        <v>18</v>
      </c>
      <c r="K84" s="3" t="s">
        <v>269</v>
      </c>
      <c r="L84" s="9" t="n">
        <v>46145</v>
      </c>
      <c r="M84" s="10" t="s">
        <v>20</v>
      </c>
    </row>
    <row r="85" customFormat="false" ht="15" hidden="false" customHeight="false" outlineLevel="0" collapsed="false">
      <c r="A85" s="3" t="n">
        <v>84</v>
      </c>
      <c r="B85" s="3" t="s">
        <v>264</v>
      </c>
      <c r="C85" s="14" t="s">
        <v>265</v>
      </c>
      <c r="D85" s="6" t="s">
        <v>285</v>
      </c>
      <c r="E85" s="6" t="s">
        <v>286</v>
      </c>
      <c r="F85" s="6" t="s">
        <v>287</v>
      </c>
      <c r="G85" s="7" t="n">
        <v>16500</v>
      </c>
      <c r="H85" s="3" t="n">
        <v>3</v>
      </c>
      <c r="I85" s="7" t="n">
        <v>770</v>
      </c>
      <c r="J85" s="11" t="s">
        <v>27</v>
      </c>
      <c r="K85" s="3" t="s">
        <v>269</v>
      </c>
      <c r="L85" s="9" t="n">
        <v>46165</v>
      </c>
      <c r="M85" s="10" t="s">
        <v>20</v>
      </c>
    </row>
    <row r="86" customFormat="false" ht="15" hidden="false" customHeight="false" outlineLevel="0" collapsed="false">
      <c r="A86" s="3" t="n">
        <v>85</v>
      </c>
      <c r="B86" s="3" t="s">
        <v>264</v>
      </c>
      <c r="C86" s="14" t="s">
        <v>265</v>
      </c>
      <c r="D86" s="6" t="s">
        <v>288</v>
      </c>
      <c r="E86" s="6" t="s">
        <v>289</v>
      </c>
      <c r="F86" s="6" t="s">
        <v>290</v>
      </c>
      <c r="G86" s="7" t="n">
        <v>20000</v>
      </c>
      <c r="H86" s="3" t="n">
        <v>3</v>
      </c>
      <c r="I86" s="7" t="n">
        <v>820</v>
      </c>
      <c r="J86" s="8" t="s">
        <v>18</v>
      </c>
      <c r="K86" s="3" t="s">
        <v>269</v>
      </c>
      <c r="L86" s="9" t="n">
        <v>46155</v>
      </c>
      <c r="M86" s="10" t="s">
        <v>20</v>
      </c>
    </row>
    <row r="87" customFormat="false" ht="15" hidden="false" customHeight="false" outlineLevel="0" collapsed="false">
      <c r="A87" s="3" t="n">
        <v>86</v>
      </c>
      <c r="B87" s="3" t="s">
        <v>264</v>
      </c>
      <c r="C87" s="14" t="s">
        <v>265</v>
      </c>
      <c r="D87" s="6" t="s">
        <v>291</v>
      </c>
      <c r="E87" s="6" t="s">
        <v>292</v>
      </c>
      <c r="F87" s="5" t="s">
        <v>293</v>
      </c>
      <c r="G87" s="7" t="n">
        <v>14500</v>
      </c>
      <c r="H87" s="3" t="n">
        <v>2</v>
      </c>
      <c r="I87" s="7" t="n">
        <v>640</v>
      </c>
      <c r="J87" s="11" t="s">
        <v>27</v>
      </c>
      <c r="K87" s="3" t="s">
        <v>269</v>
      </c>
      <c r="L87" s="9" t="n">
        <v>46171</v>
      </c>
      <c r="M87" s="10" t="s">
        <v>20</v>
      </c>
    </row>
    <row r="88" customFormat="false" ht="15" hidden="false" customHeight="false" outlineLevel="0" collapsed="false">
      <c r="A88" s="3" t="n">
        <v>87</v>
      </c>
      <c r="B88" s="3" t="s">
        <v>264</v>
      </c>
      <c r="C88" s="14" t="s">
        <v>265</v>
      </c>
      <c r="D88" s="6" t="s">
        <v>294</v>
      </c>
      <c r="E88" s="5" t="s">
        <v>295</v>
      </c>
      <c r="F88" s="6" t="s">
        <v>296</v>
      </c>
      <c r="G88" s="7" t="n">
        <v>11000</v>
      </c>
      <c r="H88" s="3" t="n">
        <v>2</v>
      </c>
      <c r="I88" s="7" t="n">
        <v>590</v>
      </c>
      <c r="J88" s="12" t="s">
        <v>49</v>
      </c>
      <c r="K88" s="3" t="s">
        <v>269</v>
      </c>
      <c r="L88" s="9" t="n">
        <v>46185</v>
      </c>
      <c r="M88" s="10" t="s">
        <v>20</v>
      </c>
    </row>
    <row r="89" customFormat="false" ht="15" hidden="false" customHeight="false" outlineLevel="0" collapsed="false">
      <c r="A89" s="3" t="n">
        <v>88</v>
      </c>
      <c r="B89" s="3" t="s">
        <v>264</v>
      </c>
      <c r="C89" s="14" t="s">
        <v>265</v>
      </c>
      <c r="D89" s="5" t="s">
        <v>297</v>
      </c>
      <c r="E89" s="6" t="s">
        <v>298</v>
      </c>
      <c r="F89" s="6" t="s">
        <v>299</v>
      </c>
      <c r="G89" s="7" t="n">
        <v>17000</v>
      </c>
      <c r="H89" s="3" t="n">
        <v>4</v>
      </c>
      <c r="I89" s="7" t="n">
        <v>1180</v>
      </c>
      <c r="J89" s="8" t="s">
        <v>18</v>
      </c>
      <c r="K89" s="3" t="s">
        <v>269</v>
      </c>
      <c r="L89" s="9" t="n">
        <v>46159</v>
      </c>
      <c r="M89" s="10" t="s">
        <v>20</v>
      </c>
    </row>
    <row r="90" customFormat="false" ht="15" hidden="false" customHeight="false" outlineLevel="0" collapsed="false">
      <c r="A90" s="3" t="n">
        <v>89</v>
      </c>
      <c r="B90" s="3" t="s">
        <v>264</v>
      </c>
      <c r="C90" s="14" t="s">
        <v>265</v>
      </c>
      <c r="D90" s="6" t="s">
        <v>300</v>
      </c>
      <c r="E90" s="6" t="s">
        <v>301</v>
      </c>
      <c r="F90" s="6" t="s">
        <v>302</v>
      </c>
      <c r="G90" s="7" t="n">
        <v>13000</v>
      </c>
      <c r="H90" s="3" t="n">
        <v>3</v>
      </c>
      <c r="I90" s="7" t="n">
        <v>720</v>
      </c>
      <c r="J90" s="11" t="s">
        <v>27</v>
      </c>
      <c r="K90" s="3" t="s">
        <v>269</v>
      </c>
      <c r="L90" s="9" t="n">
        <v>46176</v>
      </c>
      <c r="M90" s="10" t="s">
        <v>20</v>
      </c>
    </row>
    <row r="91" customFormat="false" ht="15" hidden="false" customHeight="false" outlineLevel="0" collapsed="false">
      <c r="A91" s="3" t="n">
        <v>90</v>
      </c>
      <c r="B91" s="3" t="s">
        <v>303</v>
      </c>
      <c r="C91" s="14" t="s">
        <v>304</v>
      </c>
      <c r="D91" s="5" t="s">
        <v>305</v>
      </c>
      <c r="E91" s="6" t="s">
        <v>306</v>
      </c>
      <c r="F91" s="6" t="s">
        <v>307</v>
      </c>
      <c r="G91" s="7" t="n">
        <v>19000</v>
      </c>
      <c r="H91" s="3" t="n">
        <v>2</v>
      </c>
      <c r="I91" s="7" t="n">
        <v>620</v>
      </c>
      <c r="J91" s="11" t="s">
        <v>27</v>
      </c>
      <c r="K91" s="3" t="s">
        <v>269</v>
      </c>
      <c r="L91" s="9" t="n">
        <v>46161</v>
      </c>
      <c r="M91" s="10" t="s">
        <v>20</v>
      </c>
    </row>
    <row r="92" customFormat="false" ht="15" hidden="false" customHeight="false" outlineLevel="0" collapsed="false">
      <c r="A92" s="3" t="n">
        <v>91</v>
      </c>
      <c r="B92" s="3" t="s">
        <v>303</v>
      </c>
      <c r="C92" s="14" t="s">
        <v>304</v>
      </c>
      <c r="D92" s="6" t="s">
        <v>308</v>
      </c>
      <c r="E92" s="6" t="s">
        <v>309</v>
      </c>
      <c r="F92" s="6" t="s">
        <v>310</v>
      </c>
      <c r="G92" s="7" t="n">
        <v>23000</v>
      </c>
      <c r="H92" s="3" t="n">
        <v>3</v>
      </c>
      <c r="I92" s="7" t="n">
        <v>780</v>
      </c>
      <c r="J92" s="8" t="s">
        <v>18</v>
      </c>
      <c r="K92" s="3" t="s">
        <v>269</v>
      </c>
      <c r="L92" s="9" t="n">
        <v>46150</v>
      </c>
      <c r="M92" s="10" t="s">
        <v>20</v>
      </c>
    </row>
    <row r="93" customFormat="false" ht="15" hidden="false" customHeight="false" outlineLevel="0" collapsed="false">
      <c r="A93" s="3" t="n">
        <v>92</v>
      </c>
      <c r="B93" s="3" t="s">
        <v>303</v>
      </c>
      <c r="C93" s="14" t="s">
        <v>304</v>
      </c>
      <c r="D93" s="6" t="s">
        <v>311</v>
      </c>
      <c r="E93" s="6" t="s">
        <v>312</v>
      </c>
      <c r="F93" s="6" t="s">
        <v>313</v>
      </c>
      <c r="G93" s="7" t="n">
        <v>12500</v>
      </c>
      <c r="H93" s="3" t="n">
        <v>2</v>
      </c>
      <c r="I93" s="7" t="n">
        <v>540</v>
      </c>
      <c r="J93" s="11" t="s">
        <v>27</v>
      </c>
      <c r="K93" s="3" t="s">
        <v>269</v>
      </c>
      <c r="L93" s="9" t="n">
        <v>46178</v>
      </c>
      <c r="M93" s="10" t="s">
        <v>20</v>
      </c>
    </row>
    <row r="94" customFormat="false" ht="15" hidden="false" customHeight="false" outlineLevel="0" collapsed="false">
      <c r="A94" s="3" t="n">
        <v>93</v>
      </c>
      <c r="B94" s="3" t="s">
        <v>303</v>
      </c>
      <c r="C94" s="14" t="s">
        <v>304</v>
      </c>
      <c r="D94" s="6" t="s">
        <v>314</v>
      </c>
      <c r="E94" s="6" t="s">
        <v>315</v>
      </c>
      <c r="F94" s="6" t="s">
        <v>316</v>
      </c>
      <c r="G94" s="7" t="n">
        <v>11000</v>
      </c>
      <c r="H94" s="3" t="n">
        <v>3</v>
      </c>
      <c r="I94" s="7" t="n">
        <v>620</v>
      </c>
      <c r="J94" s="12" t="s">
        <v>49</v>
      </c>
      <c r="K94" s="3" t="s">
        <v>269</v>
      </c>
      <c r="L94" s="9" t="n">
        <v>46185</v>
      </c>
      <c r="M94" s="10" t="s">
        <v>20</v>
      </c>
    </row>
    <row r="95" customFormat="false" ht="15" hidden="false" customHeight="false" outlineLevel="0" collapsed="false">
      <c r="A95" s="3" t="n">
        <v>94</v>
      </c>
      <c r="B95" s="3" t="s">
        <v>303</v>
      </c>
      <c r="C95" s="14" t="s">
        <v>304</v>
      </c>
      <c r="D95" s="6" t="s">
        <v>317</v>
      </c>
      <c r="E95" s="6" t="s">
        <v>318</v>
      </c>
      <c r="F95" s="6" t="s">
        <v>319</v>
      </c>
      <c r="G95" s="7" t="n">
        <v>17500</v>
      </c>
      <c r="H95" s="3" t="n">
        <v>3</v>
      </c>
      <c r="I95" s="7" t="n">
        <v>920</v>
      </c>
      <c r="J95" s="11" t="s">
        <v>27</v>
      </c>
      <c r="K95" s="3" t="s">
        <v>269</v>
      </c>
      <c r="L95" s="9" t="n">
        <v>46163</v>
      </c>
      <c r="M95" s="10" t="s">
        <v>20</v>
      </c>
    </row>
    <row r="96" customFormat="false" ht="15" hidden="false" customHeight="false" outlineLevel="0" collapsed="false">
      <c r="A96" s="3" t="n">
        <v>95</v>
      </c>
      <c r="B96" s="3" t="s">
        <v>303</v>
      </c>
      <c r="C96" s="14" t="s">
        <v>304</v>
      </c>
      <c r="D96" s="6" t="s">
        <v>320</v>
      </c>
      <c r="E96" s="6" t="s">
        <v>321</v>
      </c>
      <c r="F96" s="6" t="s">
        <v>322</v>
      </c>
      <c r="G96" s="7" t="n">
        <v>9000</v>
      </c>
      <c r="H96" s="3" t="n">
        <v>2</v>
      </c>
      <c r="I96" s="7" t="n">
        <v>460</v>
      </c>
      <c r="J96" s="12" t="s">
        <v>49</v>
      </c>
      <c r="K96" s="3" t="s">
        <v>269</v>
      </c>
      <c r="L96" s="9" t="n">
        <v>46190</v>
      </c>
      <c r="M96" s="10" t="s">
        <v>20</v>
      </c>
    </row>
    <row r="97" customFormat="false" ht="15" hidden="false" customHeight="false" outlineLevel="0" collapsed="false">
      <c r="A97" s="3" t="n">
        <v>96</v>
      </c>
      <c r="B97" s="3" t="s">
        <v>323</v>
      </c>
      <c r="C97" s="4" t="s">
        <v>324</v>
      </c>
      <c r="D97" s="6" t="s">
        <v>325</v>
      </c>
      <c r="E97" s="6" t="s">
        <v>326</v>
      </c>
      <c r="F97" s="6" t="s">
        <v>327</v>
      </c>
      <c r="G97" s="7" t="n">
        <v>13000</v>
      </c>
      <c r="H97" s="3" t="n">
        <v>3</v>
      </c>
      <c r="I97" s="7" t="n">
        <v>780</v>
      </c>
      <c r="J97" s="11" t="s">
        <v>27</v>
      </c>
      <c r="K97" s="3" t="s">
        <v>19</v>
      </c>
      <c r="L97" s="9" t="n">
        <v>46177</v>
      </c>
      <c r="M97" s="10" t="s">
        <v>20</v>
      </c>
    </row>
    <row r="98" customFormat="false" ht="15" hidden="false" customHeight="false" outlineLevel="0" collapsed="false">
      <c r="A98" s="3" t="n">
        <v>97</v>
      </c>
      <c r="B98" s="3" t="s">
        <v>323</v>
      </c>
      <c r="C98" s="4" t="s">
        <v>324</v>
      </c>
      <c r="D98" s="6" t="s">
        <v>328</v>
      </c>
      <c r="E98" s="6" t="s">
        <v>329</v>
      </c>
      <c r="F98" s="6" t="s">
        <v>330</v>
      </c>
      <c r="G98" s="7" t="n">
        <v>17000</v>
      </c>
      <c r="H98" s="3" t="n">
        <v>2</v>
      </c>
      <c r="I98" s="7" t="n">
        <v>510</v>
      </c>
      <c r="J98" s="8" t="s">
        <v>18</v>
      </c>
      <c r="K98" s="3" t="s">
        <v>19</v>
      </c>
      <c r="L98" s="9" t="n">
        <v>46159</v>
      </c>
      <c r="M98" s="10" t="s">
        <v>20</v>
      </c>
    </row>
    <row r="99" customFormat="false" ht="15" hidden="false" customHeight="false" outlineLevel="0" collapsed="false">
      <c r="A99" s="3" t="n">
        <v>98</v>
      </c>
      <c r="B99" s="3" t="s">
        <v>323</v>
      </c>
      <c r="C99" s="4" t="s">
        <v>324</v>
      </c>
      <c r="D99" s="6" t="s">
        <v>331</v>
      </c>
      <c r="E99" s="6" t="s">
        <v>332</v>
      </c>
      <c r="F99" s="6" t="s">
        <v>333</v>
      </c>
      <c r="G99" s="7" t="n">
        <v>10500</v>
      </c>
      <c r="H99" s="3" t="n">
        <v>2</v>
      </c>
      <c r="I99" s="7" t="n">
        <v>440</v>
      </c>
      <c r="J99" s="11" t="s">
        <v>27</v>
      </c>
      <c r="K99" s="3" t="s">
        <v>19</v>
      </c>
      <c r="L99" s="9" t="n">
        <v>46181</v>
      </c>
      <c r="M99" s="10" t="s">
        <v>20</v>
      </c>
    </row>
    <row r="100" customFormat="false" ht="15" hidden="false" customHeight="false" outlineLevel="0" collapsed="false">
      <c r="A100" s="3" t="n">
        <v>99</v>
      </c>
      <c r="B100" s="3" t="s">
        <v>323</v>
      </c>
      <c r="C100" s="4" t="s">
        <v>324</v>
      </c>
      <c r="D100" s="6" t="s">
        <v>334</v>
      </c>
      <c r="E100" s="6" t="s">
        <v>335</v>
      </c>
      <c r="F100" s="6" t="s">
        <v>336</v>
      </c>
      <c r="G100" s="7" t="n">
        <v>14000</v>
      </c>
      <c r="H100" s="3" t="n">
        <v>2</v>
      </c>
      <c r="I100" s="7" t="n">
        <v>520</v>
      </c>
      <c r="J100" s="11" t="s">
        <v>27</v>
      </c>
      <c r="K100" s="3" t="s">
        <v>19</v>
      </c>
      <c r="L100" s="9" t="n">
        <v>46173</v>
      </c>
      <c r="M100" s="10" t="s">
        <v>20</v>
      </c>
    </row>
    <row r="101" customFormat="false" ht="15" hidden="false" customHeight="false" outlineLevel="0" collapsed="false">
      <c r="A101" s="3" t="n">
        <v>100</v>
      </c>
      <c r="B101" s="3" t="s">
        <v>323</v>
      </c>
      <c r="C101" s="4" t="s">
        <v>324</v>
      </c>
      <c r="D101" s="6" t="s">
        <v>337</v>
      </c>
      <c r="E101" s="6" t="s">
        <v>338</v>
      </c>
      <c r="F101" s="6" t="s">
        <v>339</v>
      </c>
      <c r="G101" s="7" t="n">
        <v>9200</v>
      </c>
      <c r="H101" s="3" t="n">
        <v>3</v>
      </c>
      <c r="I101" s="7" t="n">
        <v>480</v>
      </c>
      <c r="J101" s="12" t="s">
        <v>49</v>
      </c>
      <c r="K101" s="3" t="s">
        <v>19</v>
      </c>
      <c r="L101" s="9" t="n">
        <v>46189</v>
      </c>
      <c r="M101" s="10" t="s">
        <v>20</v>
      </c>
    </row>
  </sheetData>
  <autoFilter ref="A1:M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10" min="8" style="0" width="8"/>
  </cols>
  <sheetData>
    <row r="1" customFormat="false" ht="30" hidden="false" customHeight="true" outlineLevel="0" collapsed="false">
      <c r="A1" s="1" t="s">
        <v>1</v>
      </c>
      <c r="B1" s="1" t="s">
        <v>2</v>
      </c>
      <c r="C1" s="1" t="s">
        <v>10</v>
      </c>
      <c r="D1" s="1" t="s">
        <v>340</v>
      </c>
      <c r="E1" s="1" t="s">
        <v>341</v>
      </c>
      <c r="F1" s="1" t="s">
        <v>342</v>
      </c>
      <c r="G1" s="1" t="s">
        <v>343</v>
      </c>
      <c r="H1" s="2" t="s">
        <v>344</v>
      </c>
      <c r="I1" s="2" t="s">
        <v>345</v>
      </c>
      <c r="J1" s="2" t="s">
        <v>346</v>
      </c>
    </row>
    <row r="2" customFormat="false" ht="15" hidden="false" customHeight="false" outlineLevel="0" collapsed="false">
      <c r="A2" s="3" t="s">
        <v>13</v>
      </c>
      <c r="B2" s="15" t="s">
        <v>14</v>
      </c>
      <c r="C2" s="3" t="s">
        <v>19</v>
      </c>
      <c r="D2" s="16" t="n">
        <f aca="false">COUNTIF(주제100선!B2:B101,A2)</f>
        <v>15</v>
      </c>
      <c r="E2" s="17" t="n">
        <f aca="false">AVERAGEIF(주제100선!B2:B101,A2,주제100선!G2:G101)</f>
        <v>15786.6666666667</v>
      </c>
      <c r="F2" s="18" t="n">
        <f aca="false">AVERAGEIF(주제100선!B2:B101,A2,주제100선!H2:H101)</f>
        <v>2.73333333333333</v>
      </c>
      <c r="G2" s="17" t="n">
        <f aca="false">AVERAGEIF(주제100선!B2:B101,A2,주제100선!I2:I101)</f>
        <v>678.666666666667</v>
      </c>
      <c r="H2" s="16" t="n">
        <f aca="false">COUNTIFS(주제100선!B2:B101,A2,주제100선!J2:J101,"P0")</f>
        <v>5</v>
      </c>
      <c r="I2" s="16" t="n">
        <f aca="false">COUNTIFS(주제100선!B2:B101,A2,주제100선!J2:J101,"P1")</f>
        <v>8</v>
      </c>
      <c r="J2" s="16" t="n">
        <f aca="false">COUNTIFS(주제100선!B2:B101,A2,주제100선!J2:J101,"P2")</f>
        <v>2</v>
      </c>
    </row>
    <row r="3" customFormat="false" ht="15" hidden="false" customHeight="false" outlineLevel="0" collapsed="false">
      <c r="A3" s="3" t="s">
        <v>65</v>
      </c>
      <c r="B3" s="15" t="s">
        <v>66</v>
      </c>
      <c r="C3" s="3" t="s">
        <v>19</v>
      </c>
      <c r="D3" s="16" t="n">
        <f aca="false">COUNTIF(주제100선!B2:B101,A3)</f>
        <v>12</v>
      </c>
      <c r="E3" s="17" t="n">
        <f aca="false">AVERAGEIF(주제100선!B2:B101,A3,주제100선!G2:G101)</f>
        <v>17558.3333333333</v>
      </c>
      <c r="F3" s="18" t="n">
        <f aca="false">AVERAGEIF(주제100선!B2:B101,A3,주제100선!H2:H101)</f>
        <v>2.58333333333333</v>
      </c>
      <c r="G3" s="17" t="n">
        <f aca="false">AVERAGEIF(주제100선!B2:B101,A3,주제100선!I2:I101)</f>
        <v>603.333333333333</v>
      </c>
      <c r="H3" s="16" t="n">
        <f aca="false">COUNTIFS(주제100선!B2:B101,A3,주제100선!J2:J101,"P0")</f>
        <v>4</v>
      </c>
      <c r="I3" s="16" t="n">
        <f aca="false">COUNTIFS(주제100선!B2:B101,A3,주제100선!J2:J101,"P1")</f>
        <v>5</v>
      </c>
      <c r="J3" s="16" t="n">
        <f aca="false">COUNTIFS(주제100선!B2:B101,A3,주제100선!J2:J101,"P2")</f>
        <v>3</v>
      </c>
    </row>
    <row r="4" customFormat="false" ht="15" hidden="false" customHeight="false" outlineLevel="0" collapsed="false">
      <c r="A4" s="3" t="s">
        <v>103</v>
      </c>
      <c r="B4" s="15" t="s">
        <v>104</v>
      </c>
      <c r="C4" s="3" t="s">
        <v>19</v>
      </c>
      <c r="D4" s="16" t="n">
        <f aca="false">COUNTIF(주제100선!B2:B101,A4)</f>
        <v>10</v>
      </c>
      <c r="E4" s="17" t="n">
        <f aca="false">AVERAGEIF(주제100선!B2:B101,A4,주제100선!G2:G101)</f>
        <v>15570</v>
      </c>
      <c r="F4" s="18" t="n">
        <f aca="false">AVERAGEIF(주제100선!B2:B101,A4,주제100선!H2:H101)</f>
        <v>2.7</v>
      </c>
      <c r="G4" s="17" t="n">
        <f aca="false">AVERAGEIF(주제100선!B2:B101,A4,주제100선!I2:I101)</f>
        <v>621</v>
      </c>
      <c r="H4" s="16" t="n">
        <f aca="false">COUNTIFS(주제100선!B2:B101,A4,주제100선!J2:J101,"P0")</f>
        <v>2</v>
      </c>
      <c r="I4" s="16" t="n">
        <f aca="false">COUNTIFS(주제100선!B2:B101,A4,주제100선!J2:J101,"P1")</f>
        <v>5</v>
      </c>
      <c r="J4" s="16" t="n">
        <f aca="false">COUNTIFS(주제100선!B2:B101,A4,주제100선!J2:J101,"P2")</f>
        <v>3</v>
      </c>
    </row>
    <row r="5" customFormat="false" ht="15" hidden="false" customHeight="false" outlineLevel="0" collapsed="false">
      <c r="A5" s="3" t="s">
        <v>135</v>
      </c>
      <c r="B5" s="15" t="s">
        <v>136</v>
      </c>
      <c r="C5" s="3" t="s">
        <v>19</v>
      </c>
      <c r="D5" s="16" t="n">
        <f aca="false">COUNTIF(주제100선!B2:B101,A5)</f>
        <v>10</v>
      </c>
      <c r="E5" s="17" t="n">
        <f aca="false">AVERAGEIF(주제100선!B2:B101,A5,주제100선!G2:G101)</f>
        <v>14370</v>
      </c>
      <c r="F5" s="18" t="n">
        <f aca="false">AVERAGEIF(주제100선!B2:B101,A5,주제100선!H2:H101)</f>
        <v>2.3</v>
      </c>
      <c r="G5" s="17" t="n">
        <f aca="false">AVERAGEIF(주제100선!B2:B101,A5,주제100선!I2:I101)</f>
        <v>570</v>
      </c>
      <c r="H5" s="16" t="n">
        <f aca="false">COUNTIFS(주제100선!B2:B101,A5,주제100선!J2:J101,"P0")</f>
        <v>1</v>
      </c>
      <c r="I5" s="16" t="n">
        <f aca="false">COUNTIFS(주제100선!B2:B101,A5,주제100선!J2:J101,"P1")</f>
        <v>6</v>
      </c>
      <c r="J5" s="16" t="n">
        <f aca="false">COUNTIFS(주제100선!B2:B101,A5,주제100선!J2:J101,"P2")</f>
        <v>3</v>
      </c>
    </row>
    <row r="6" customFormat="false" ht="15" hidden="false" customHeight="false" outlineLevel="0" collapsed="false">
      <c r="A6" s="3" t="s">
        <v>167</v>
      </c>
      <c r="B6" s="19" t="s">
        <v>168</v>
      </c>
      <c r="C6" s="3" t="s">
        <v>172</v>
      </c>
      <c r="D6" s="16" t="n">
        <f aca="false">COUNTIF(주제100선!B2:B101,A6)</f>
        <v>12</v>
      </c>
      <c r="E6" s="17" t="n">
        <f aca="false">AVERAGEIF(주제100선!B2:B101,A6,주제100선!G2:G101)</f>
        <v>17583.3333333333</v>
      </c>
      <c r="F6" s="18" t="n">
        <f aca="false">AVERAGEIF(주제100선!B2:B101,A6,주제100선!H2:H101)</f>
        <v>2.41666666666667</v>
      </c>
      <c r="G6" s="17" t="n">
        <f aca="false">AVERAGEIF(주제100선!B2:B101,A6,주제100선!I2:I101)</f>
        <v>640</v>
      </c>
      <c r="H6" s="16" t="n">
        <f aca="false">COUNTIFS(주제100선!B2:B101,A6,주제100선!J2:J101,"P0")</f>
        <v>5</v>
      </c>
      <c r="I6" s="16" t="n">
        <f aca="false">COUNTIFS(주제100선!B2:B101,A6,주제100선!J2:J101,"P1")</f>
        <v>6</v>
      </c>
      <c r="J6" s="16" t="n">
        <f aca="false">COUNTIFS(주제100선!B2:B101,A6,주제100선!J2:J101,"P2")</f>
        <v>1</v>
      </c>
    </row>
    <row r="7" customFormat="false" ht="15" hidden="false" customHeight="false" outlineLevel="0" collapsed="false">
      <c r="A7" s="3" t="s">
        <v>206</v>
      </c>
      <c r="B7" s="19" t="s">
        <v>207</v>
      </c>
      <c r="C7" s="3" t="s">
        <v>172</v>
      </c>
      <c r="D7" s="16" t="n">
        <f aca="false">COUNTIF(주제100선!B2:B101,A7)</f>
        <v>10</v>
      </c>
      <c r="E7" s="17" t="n">
        <f aca="false">AVERAGEIF(주제100선!B2:B101,A7,주제100선!G2:G101)</f>
        <v>18750</v>
      </c>
      <c r="F7" s="18" t="n">
        <f aca="false">AVERAGEIF(주제100선!B2:B101,A7,주제100선!H2:H101)</f>
        <v>2.8</v>
      </c>
      <c r="G7" s="17" t="n">
        <f aca="false">AVERAGEIF(주제100선!B2:B101,A7,주제100선!I2:I101)</f>
        <v>761</v>
      </c>
      <c r="H7" s="16" t="n">
        <f aca="false">COUNTIFS(주제100선!B2:B101,A7,주제100선!J2:J101,"P0")</f>
        <v>5</v>
      </c>
      <c r="I7" s="16" t="n">
        <f aca="false">COUNTIFS(주제100선!B2:B101,A7,주제100선!J2:J101,"P1")</f>
        <v>4</v>
      </c>
      <c r="J7" s="16" t="n">
        <f aca="false">COUNTIFS(주제100선!B2:B101,A7,주제100선!J2:J101,"P2")</f>
        <v>1</v>
      </c>
    </row>
    <row r="8" customFormat="false" ht="15" hidden="false" customHeight="false" outlineLevel="0" collapsed="false">
      <c r="A8" s="3" t="s">
        <v>238</v>
      </c>
      <c r="B8" s="19" t="s">
        <v>239</v>
      </c>
      <c r="C8" s="3" t="s">
        <v>172</v>
      </c>
      <c r="D8" s="16" t="n">
        <f aca="false">COUNTIF(주제100선!B2:B101,A8)</f>
        <v>8</v>
      </c>
      <c r="E8" s="17" t="n">
        <f aca="false">AVERAGEIF(주제100선!B2:B101,A8,주제100선!G2:G101)</f>
        <v>13750</v>
      </c>
      <c r="F8" s="18" t="n">
        <f aca="false">AVERAGEIF(주제100선!B2:B101,A8,주제100선!H2:H101)</f>
        <v>2.875</v>
      </c>
      <c r="G8" s="17" t="n">
        <f aca="false">AVERAGEIF(주제100선!B2:B101,A8,주제100선!I2:I101)</f>
        <v>863.75</v>
      </c>
      <c r="H8" s="16" t="n">
        <f aca="false">COUNTIFS(주제100선!B2:B101,A8,주제100선!J2:J101,"P0")</f>
        <v>3</v>
      </c>
      <c r="I8" s="16" t="n">
        <f aca="false">COUNTIFS(주제100선!B2:B101,A8,주제100선!J2:J101,"P1")</f>
        <v>3</v>
      </c>
      <c r="J8" s="16" t="n">
        <f aca="false">COUNTIFS(주제100선!B2:B101,A8,주제100선!J2:J101,"P2")</f>
        <v>2</v>
      </c>
    </row>
    <row r="9" customFormat="false" ht="15" hidden="false" customHeight="false" outlineLevel="0" collapsed="false">
      <c r="A9" s="3" t="s">
        <v>264</v>
      </c>
      <c r="B9" s="20" t="s">
        <v>265</v>
      </c>
      <c r="C9" s="3" t="s">
        <v>269</v>
      </c>
      <c r="D9" s="16" t="n">
        <f aca="false">COUNTIF(주제100선!B2:B101,A9)</f>
        <v>12</v>
      </c>
      <c r="E9" s="17" t="n">
        <f aca="false">AVERAGEIF(주제100선!B2:B101,A9,주제100선!G2:G101)</f>
        <v>19250</v>
      </c>
      <c r="F9" s="18" t="n">
        <f aca="false">AVERAGEIF(주제100선!B2:B101,A9,주제100선!H2:H101)</f>
        <v>2.75</v>
      </c>
      <c r="G9" s="17" t="n">
        <f aca="false">AVERAGEIF(주제100선!B2:B101,A9,주제100선!I2:I101)</f>
        <v>825.833333333333</v>
      </c>
      <c r="H9" s="16" t="n">
        <f aca="false">COUNTIFS(주제100선!B2:B101,A9,주제100선!J2:J101,"P0")</f>
        <v>8</v>
      </c>
      <c r="I9" s="16" t="n">
        <f aca="false">COUNTIFS(주제100선!B2:B101,A9,주제100선!J2:J101,"P1")</f>
        <v>3</v>
      </c>
      <c r="J9" s="16" t="n">
        <f aca="false">COUNTIFS(주제100선!B2:B101,A9,주제100선!J2:J101,"P2")</f>
        <v>1</v>
      </c>
    </row>
    <row r="10" customFormat="false" ht="15" hidden="false" customHeight="false" outlineLevel="0" collapsed="false">
      <c r="A10" s="3" t="s">
        <v>303</v>
      </c>
      <c r="B10" s="20" t="s">
        <v>304</v>
      </c>
      <c r="C10" s="3" t="s">
        <v>269</v>
      </c>
      <c r="D10" s="16" t="n">
        <f aca="false">COUNTIF(주제100선!B2:B101,A10)</f>
        <v>6</v>
      </c>
      <c r="E10" s="17" t="n">
        <f aca="false">AVERAGEIF(주제100선!B2:B101,A10,주제100선!G2:G101)</f>
        <v>15333.3333333333</v>
      </c>
      <c r="F10" s="18" t="n">
        <f aca="false">AVERAGEIF(주제100선!B2:B101,A10,주제100선!H2:H101)</f>
        <v>2.5</v>
      </c>
      <c r="G10" s="17" t="n">
        <f aca="false">AVERAGEIF(주제100선!B2:B101,A10,주제100선!I2:I101)</f>
        <v>656.666666666667</v>
      </c>
      <c r="H10" s="16" t="n">
        <f aca="false">COUNTIFS(주제100선!B2:B101,A10,주제100선!J2:J101,"P0")</f>
        <v>1</v>
      </c>
      <c r="I10" s="16" t="n">
        <f aca="false">COUNTIFS(주제100선!B2:B101,A10,주제100선!J2:J101,"P1")</f>
        <v>3</v>
      </c>
      <c r="J10" s="16" t="n">
        <f aca="false">COUNTIFS(주제100선!B2:B101,A10,주제100선!J2:J101,"P2")</f>
        <v>2</v>
      </c>
    </row>
    <row r="11" customFormat="false" ht="15" hidden="false" customHeight="false" outlineLevel="0" collapsed="false">
      <c r="A11" s="3" t="s">
        <v>323</v>
      </c>
      <c r="B11" s="15" t="s">
        <v>324</v>
      </c>
      <c r="C11" s="3" t="s">
        <v>19</v>
      </c>
      <c r="D11" s="16" t="n">
        <f aca="false">COUNTIF(주제100선!B2:B101,A11)</f>
        <v>5</v>
      </c>
      <c r="E11" s="17" t="n">
        <f aca="false">AVERAGEIF(주제100선!B2:B101,A11,주제100선!G2:G101)</f>
        <v>12740</v>
      </c>
      <c r="F11" s="18" t="n">
        <f aca="false">AVERAGEIF(주제100선!B2:B101,A11,주제100선!H2:H101)</f>
        <v>2.4</v>
      </c>
      <c r="G11" s="17" t="n">
        <f aca="false">AVERAGEIF(주제100선!B2:B101,A11,주제100선!I2:I101)</f>
        <v>546</v>
      </c>
      <c r="H11" s="16" t="n">
        <f aca="false">COUNTIFS(주제100선!B2:B101,A11,주제100선!J2:J101,"P0")</f>
        <v>1</v>
      </c>
      <c r="I11" s="16" t="n">
        <f aca="false">COUNTIFS(주제100선!B2:B101,A11,주제100선!J2:J101,"P1")</f>
        <v>3</v>
      </c>
      <c r="J11" s="16" t="n">
        <f aca="false">COUNTIFS(주제100선!B2:B101,A11,주제100선!J2:J101,"P2")</f>
        <v>1</v>
      </c>
    </row>
    <row r="12" customFormat="false" ht="15" hidden="false" customHeight="false" outlineLevel="0" collapsed="false">
      <c r="A12" s="21" t="s">
        <v>347</v>
      </c>
      <c r="B12" s="22"/>
      <c r="C12" s="23"/>
      <c r="D12" s="21" t="n">
        <f aca="false">SUM(D2:D11)</f>
        <v>100</v>
      </c>
      <c r="E12" s="24" t="n">
        <f aca="false">AVERAGE(주제100선!G2:G101)</f>
        <v>16421</v>
      </c>
      <c r="F12" s="25" t="n">
        <f aca="false">AVERAGE(주제100선!H2:H101)</f>
        <v>2.62</v>
      </c>
      <c r="G12" s="24" t="n">
        <f aca="false">AVERAGE(주제100선!I2:I101)</f>
        <v>681.1</v>
      </c>
      <c r="H12" s="21" t="n">
        <f aca="false">COUNTIF(주제100선!J2:J101,"P0")</f>
        <v>35</v>
      </c>
      <c r="I12" s="21" t="n">
        <f aca="false">COUNTIF(주제100선!J2:J101,"P1")</f>
        <v>46</v>
      </c>
      <c r="J12" s="21" t="n">
        <f aca="false">COUNTIF(주제100선!J2:J101,"P2")</f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1"/>
    <col collapsed="false" customWidth="true" hidden="false" outlineLevel="0" max="6" min="5" style="0" width="12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2" min="11" style="0" width="14"/>
  </cols>
  <sheetData>
    <row r="1" customFormat="false" ht="30" hidden="false" customHeight="true" outlineLevel="0" collapsed="false">
      <c r="A1" s="1" t="s">
        <v>348</v>
      </c>
      <c r="B1" s="1" t="s">
        <v>349</v>
      </c>
      <c r="C1" s="1" t="s">
        <v>14</v>
      </c>
      <c r="D1" s="1" t="s">
        <v>66</v>
      </c>
      <c r="E1" s="1" t="s">
        <v>350</v>
      </c>
      <c r="F1" s="1" t="s">
        <v>136</v>
      </c>
      <c r="G1" s="1" t="s">
        <v>351</v>
      </c>
      <c r="H1" s="1" t="s">
        <v>352</v>
      </c>
      <c r="I1" s="1" t="s">
        <v>353</v>
      </c>
      <c r="J1" s="1" t="s">
        <v>265</v>
      </c>
      <c r="K1" s="1" t="s">
        <v>354</v>
      </c>
      <c r="L1" s="1" t="s">
        <v>355</v>
      </c>
    </row>
    <row r="2" customFormat="false" ht="15" hidden="false" customHeight="false" outlineLevel="0" collapsed="false">
      <c r="A2" s="26" t="s">
        <v>356</v>
      </c>
      <c r="B2" s="26" t="n">
        <v>62</v>
      </c>
      <c r="C2" s="4" t="n">
        <v>9</v>
      </c>
      <c r="D2" s="4" t="n">
        <v>7</v>
      </c>
      <c r="E2" s="4" t="n">
        <v>5</v>
      </c>
      <c r="F2" s="4" t="n">
        <v>5</v>
      </c>
      <c r="G2" s="13" t="n">
        <v>9</v>
      </c>
      <c r="H2" s="13" t="n">
        <v>8</v>
      </c>
      <c r="I2" s="13" t="n">
        <v>4</v>
      </c>
      <c r="J2" s="14" t="n">
        <v>10</v>
      </c>
      <c r="K2" s="14" t="n">
        <v>3</v>
      </c>
      <c r="L2" s="4" t="n">
        <v>2</v>
      </c>
    </row>
    <row r="3" customFormat="false" ht="15" hidden="false" customHeight="false" outlineLevel="0" collapsed="false">
      <c r="A3" s="26" t="s">
        <v>357</v>
      </c>
      <c r="B3" s="26" t="n">
        <v>38</v>
      </c>
      <c r="C3" s="4" t="n">
        <v>6</v>
      </c>
      <c r="D3" s="4" t="n">
        <v>5</v>
      </c>
      <c r="E3" s="4" t="n">
        <v>5</v>
      </c>
      <c r="F3" s="4" t="n">
        <v>5</v>
      </c>
      <c r="G3" s="13" t="n">
        <v>3</v>
      </c>
      <c r="H3" s="13" t="n">
        <v>2</v>
      </c>
      <c r="I3" s="13" t="n">
        <v>4</v>
      </c>
      <c r="J3" s="14" t="n">
        <v>2</v>
      </c>
      <c r="K3" s="14" t="n">
        <v>3</v>
      </c>
      <c r="L3" s="4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30" hidden="false" customHeight="true" outlineLevel="0" collapsed="false">
      <c r="A1" s="27" t="s">
        <v>358</v>
      </c>
    </row>
    <row r="2" customFormat="false" ht="21.75" hidden="false" customHeight="true" outlineLevel="0" collapsed="false">
      <c r="A2" s="28"/>
    </row>
    <row r="3" customFormat="false" ht="21.75" hidden="false" customHeight="true" outlineLevel="0" collapsed="false">
      <c r="A3" s="28" t="s">
        <v>359</v>
      </c>
    </row>
    <row r="4" customFormat="false" ht="21.75" hidden="false" customHeight="true" outlineLevel="0" collapsed="false">
      <c r="A4" s="28" t="s">
        <v>360</v>
      </c>
    </row>
    <row r="5" customFormat="false" ht="21.75" hidden="false" customHeight="true" outlineLevel="0" collapsed="false">
      <c r="A5" s="28" t="s">
        <v>361</v>
      </c>
    </row>
    <row r="6" customFormat="false" ht="21.75" hidden="false" customHeight="true" outlineLevel="0" collapsed="false">
      <c r="A6" s="28" t="s">
        <v>362</v>
      </c>
    </row>
    <row r="7" customFormat="false" ht="21.75" hidden="false" customHeight="true" outlineLevel="0" collapsed="false">
      <c r="A7" s="28" t="s">
        <v>363</v>
      </c>
    </row>
    <row r="8" customFormat="false" ht="21.75" hidden="false" customHeight="true" outlineLevel="0" collapsed="false">
      <c r="A8" s="28" t="s">
        <v>364</v>
      </c>
    </row>
    <row r="9" customFormat="false" ht="21.75" hidden="false" customHeight="true" outlineLevel="0" collapsed="false">
      <c r="A9" s="28" t="s">
        <v>365</v>
      </c>
    </row>
    <row r="10" customFormat="false" ht="21.75" hidden="false" customHeight="true" outlineLevel="0" collapsed="false">
      <c r="A10" s="28"/>
    </row>
    <row r="11" customFormat="false" ht="21.75" hidden="false" customHeight="true" outlineLevel="0" collapsed="false">
      <c r="A11" s="29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2026-04-23T01:21:16Z</dcterms:created>
  <dc:creator>openpyxl</dc:creator>
  <dc:description/>
  <dc:language>en-US</dc:language>
  <cp:lastModifiedBy/>
  <dcterms:modified xsi:type="dcterms:W3CDTF">2026-04-23T01:21:16Z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